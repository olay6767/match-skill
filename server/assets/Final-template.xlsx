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rst\Desktop\"/>
    </mc:Choice>
  </mc:AlternateContent>
  <xr:revisionPtr revIDLastSave="0" documentId="8_{D36FB258-D151-40B7-A753-56DB80C66F9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Form Responses 1" sheetId="1" r:id="rId1"/>
    <sheet name="Cleaned" sheetId="2" r:id="rId2"/>
    <sheet name="Match" sheetId="3" r:id="rId3"/>
    <sheet name="Analyzed" sheetId="4" r:id="rId4"/>
    <sheet name="Final" sheetId="5" r:id="rId5"/>
  </sheets>
  <definedNames>
    <definedName name="_xlnm._FilterDatabase" localSheetId="3" hidden="1">Analyzed!$A$1:$K$97</definedName>
    <definedName name="_xlnm._FilterDatabase" localSheetId="1" hidden="1">Cleaned!$A$1:$K$97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5" l="1"/>
  <c r="J110" i="5"/>
  <c r="J111" i="5"/>
  <c r="J112" i="5"/>
  <c r="J113" i="5"/>
  <c r="J114" i="5"/>
  <c r="J115" i="5"/>
  <c r="J116" i="5"/>
  <c r="J117" i="5"/>
  <c r="J108" i="5"/>
  <c r="W90" i="5"/>
  <c r="O90" i="5"/>
  <c r="P90" i="5"/>
  <c r="Q90" i="5"/>
  <c r="R90" i="5"/>
  <c r="S90" i="5"/>
  <c r="T90" i="5"/>
  <c r="U90" i="5"/>
  <c r="V90" i="5"/>
  <c r="N90" i="5"/>
  <c r="W91" i="5"/>
  <c r="W92" i="5" s="1"/>
  <c r="L91" i="5"/>
  <c r="L92" i="5" s="1"/>
  <c r="O91" i="5"/>
  <c r="O92" i="5" s="1"/>
  <c r="P91" i="5"/>
  <c r="P92" i="5" s="1"/>
  <c r="Q91" i="5"/>
  <c r="Q92" i="5" s="1"/>
  <c r="R91" i="5"/>
  <c r="R92" i="5" s="1"/>
  <c r="S91" i="5"/>
  <c r="S92" i="5" s="1"/>
  <c r="T91" i="5"/>
  <c r="T92" i="5" s="1"/>
  <c r="U91" i="5"/>
  <c r="U92" i="5" s="1"/>
  <c r="V91" i="5"/>
  <c r="V92" i="5" s="1"/>
  <c r="N91" i="5"/>
  <c r="N92" i="5" s="1"/>
  <c r="D91" i="5"/>
  <c r="D92" i="5" s="1"/>
  <c r="E91" i="5"/>
  <c r="E92" i="5" s="1"/>
  <c r="F91" i="5"/>
  <c r="F92" i="5" s="1"/>
  <c r="G91" i="5"/>
  <c r="G92" i="5" s="1"/>
  <c r="H91" i="5"/>
  <c r="H92" i="5" s="1"/>
  <c r="I91" i="5"/>
  <c r="I92" i="5" s="1"/>
  <c r="J91" i="5"/>
  <c r="J92" i="5" s="1"/>
  <c r="K91" i="5"/>
  <c r="K92" i="5" s="1"/>
  <c r="C91" i="5"/>
  <c r="C92" i="5" s="1"/>
  <c r="D90" i="5"/>
  <c r="E90" i="5"/>
  <c r="F90" i="5"/>
  <c r="G90" i="5"/>
  <c r="H90" i="5"/>
  <c r="I90" i="5"/>
  <c r="J90" i="5"/>
  <c r="K90" i="5"/>
  <c r="C90" i="5"/>
  <c r="D91" i="4"/>
  <c r="E91" i="4"/>
  <c r="F91" i="4"/>
  <c r="G91" i="4"/>
  <c r="H91" i="4"/>
  <c r="I91" i="4"/>
  <c r="J91" i="4"/>
  <c r="K91" i="4"/>
  <c r="D92" i="4"/>
  <c r="E92" i="4"/>
  <c r="F92" i="4"/>
  <c r="G92" i="4"/>
  <c r="H92" i="4"/>
  <c r="I92" i="4"/>
  <c r="J92" i="4"/>
  <c r="K92" i="4"/>
  <c r="D93" i="4"/>
  <c r="E93" i="4"/>
  <c r="F93" i="4"/>
  <c r="G93" i="4"/>
  <c r="H93" i="4"/>
  <c r="I93" i="4"/>
  <c r="J93" i="4"/>
  <c r="K93" i="4"/>
  <c r="D94" i="4"/>
  <c r="E94" i="4"/>
  <c r="F94" i="4"/>
  <c r="G94" i="4"/>
  <c r="H94" i="4"/>
  <c r="I94" i="4"/>
  <c r="J94" i="4"/>
  <c r="K94" i="4"/>
  <c r="D95" i="4"/>
  <c r="E95" i="4"/>
  <c r="F95" i="4"/>
  <c r="G95" i="4"/>
  <c r="H95" i="4"/>
  <c r="I95" i="4"/>
  <c r="J95" i="4"/>
  <c r="K95" i="4"/>
  <c r="D96" i="4"/>
  <c r="E96" i="4"/>
  <c r="F96" i="4"/>
  <c r="G96" i="4"/>
  <c r="H96" i="4"/>
  <c r="I96" i="4"/>
  <c r="J96" i="4"/>
  <c r="K96" i="4"/>
  <c r="D97" i="4"/>
  <c r="E97" i="4"/>
  <c r="F97" i="4"/>
  <c r="G97" i="4"/>
  <c r="H97" i="4"/>
  <c r="I97" i="4"/>
  <c r="J97" i="4"/>
  <c r="K97" i="4"/>
  <c r="D98" i="4"/>
  <c r="E98" i="4"/>
  <c r="F98" i="4"/>
  <c r="G98" i="4"/>
  <c r="H98" i="4"/>
  <c r="I98" i="4"/>
  <c r="J98" i="4"/>
  <c r="K98" i="4"/>
  <c r="D99" i="4"/>
  <c r="E99" i="4"/>
  <c r="F99" i="4"/>
  <c r="G99" i="4"/>
  <c r="H99" i="4"/>
  <c r="I99" i="4"/>
  <c r="J99" i="4"/>
  <c r="K99" i="4"/>
  <c r="D100" i="4"/>
  <c r="E100" i="4"/>
  <c r="F100" i="4"/>
  <c r="G100" i="4"/>
  <c r="H100" i="4"/>
  <c r="I100" i="4"/>
  <c r="J100" i="4"/>
  <c r="K100" i="4"/>
  <c r="D101" i="4"/>
  <c r="E101" i="4"/>
  <c r="F101" i="4"/>
  <c r="G101" i="4"/>
  <c r="H101" i="4"/>
  <c r="I101" i="4"/>
  <c r="J101" i="4"/>
  <c r="K101" i="4"/>
  <c r="D102" i="4"/>
  <c r="E102" i="4"/>
  <c r="F102" i="4"/>
  <c r="G102" i="4"/>
  <c r="H102" i="4"/>
  <c r="I102" i="4"/>
  <c r="J102" i="4"/>
  <c r="K102" i="4"/>
  <c r="D103" i="4"/>
  <c r="E103" i="4"/>
  <c r="F103" i="4"/>
  <c r="G103" i="4"/>
  <c r="H103" i="4"/>
  <c r="I103" i="4"/>
  <c r="J103" i="4"/>
  <c r="K103" i="4"/>
  <c r="D104" i="4"/>
  <c r="E104" i="4"/>
  <c r="F104" i="4"/>
  <c r="G104" i="4"/>
  <c r="H104" i="4"/>
  <c r="I104" i="4"/>
  <c r="J104" i="4"/>
  <c r="K104" i="4"/>
  <c r="D105" i="4"/>
  <c r="E105" i="4"/>
  <c r="F105" i="4"/>
  <c r="G105" i="4"/>
  <c r="H105" i="4"/>
  <c r="I105" i="4"/>
  <c r="J105" i="4"/>
  <c r="K105" i="4"/>
  <c r="D106" i="4"/>
  <c r="E106" i="4"/>
  <c r="F106" i="4"/>
  <c r="G106" i="4"/>
  <c r="H106" i="4"/>
  <c r="I106" i="4"/>
  <c r="J106" i="4"/>
  <c r="K106" i="4"/>
  <c r="D107" i="4"/>
  <c r="E107" i="4"/>
  <c r="F107" i="4"/>
  <c r="G107" i="4"/>
  <c r="H107" i="4"/>
  <c r="I107" i="4"/>
  <c r="J107" i="4"/>
  <c r="K107" i="4"/>
  <c r="D108" i="4"/>
  <c r="E108" i="4"/>
  <c r="F108" i="4"/>
  <c r="G108" i="4"/>
  <c r="H108" i="4"/>
  <c r="I108" i="4"/>
  <c r="J108" i="4"/>
  <c r="K108" i="4"/>
  <c r="D109" i="4"/>
  <c r="E109" i="4"/>
  <c r="F109" i="4"/>
  <c r="G109" i="4"/>
  <c r="H109" i="4"/>
  <c r="I109" i="4"/>
  <c r="J109" i="4"/>
  <c r="K109" i="4"/>
  <c r="D110" i="4"/>
  <c r="E110" i="4"/>
  <c r="F110" i="4"/>
  <c r="G110" i="4"/>
  <c r="H110" i="4"/>
  <c r="I110" i="4"/>
  <c r="J110" i="4"/>
  <c r="K110" i="4"/>
  <c r="D111" i="4"/>
  <c r="E111" i="4"/>
  <c r="F111" i="4"/>
  <c r="G111" i="4"/>
  <c r="H111" i="4"/>
  <c r="I111" i="4"/>
  <c r="J111" i="4"/>
  <c r="K111" i="4"/>
  <c r="D112" i="4"/>
  <c r="E112" i="4"/>
  <c r="F112" i="4"/>
  <c r="G112" i="4"/>
  <c r="H112" i="4"/>
  <c r="I112" i="4"/>
  <c r="J112" i="4"/>
  <c r="K112" i="4"/>
  <c r="D113" i="4"/>
  <c r="E113" i="4"/>
  <c r="F113" i="4"/>
  <c r="G113" i="4"/>
  <c r="H113" i="4"/>
  <c r="I113" i="4"/>
  <c r="J113" i="4"/>
  <c r="K113" i="4"/>
  <c r="D114" i="4"/>
  <c r="E114" i="4"/>
  <c r="F114" i="4"/>
  <c r="G114" i="4"/>
  <c r="H114" i="4"/>
  <c r="I114" i="4"/>
  <c r="J114" i="4"/>
  <c r="K114" i="4"/>
  <c r="D115" i="4"/>
  <c r="E115" i="4"/>
  <c r="F115" i="4"/>
  <c r="G115" i="4"/>
  <c r="H115" i="4"/>
  <c r="I115" i="4"/>
  <c r="J115" i="4"/>
  <c r="K115" i="4"/>
  <c r="D116" i="4"/>
  <c r="E116" i="4"/>
  <c r="F116" i="4"/>
  <c r="G116" i="4"/>
  <c r="H116" i="4"/>
  <c r="I116" i="4"/>
  <c r="J116" i="4"/>
  <c r="K116" i="4"/>
  <c r="D117" i="4"/>
  <c r="E117" i="4"/>
  <c r="F117" i="4"/>
  <c r="G117" i="4"/>
  <c r="H117" i="4"/>
  <c r="I117" i="4"/>
  <c r="J117" i="4"/>
  <c r="K117" i="4"/>
  <c r="D118" i="4"/>
  <c r="E118" i="4"/>
  <c r="F118" i="4"/>
  <c r="G118" i="4"/>
  <c r="H118" i="4"/>
  <c r="I118" i="4"/>
  <c r="J118" i="4"/>
  <c r="K118" i="4"/>
  <c r="D119" i="4"/>
  <c r="E119" i="4"/>
  <c r="F119" i="4"/>
  <c r="G119" i="4"/>
  <c r="H119" i="4"/>
  <c r="I119" i="4"/>
  <c r="J119" i="4"/>
  <c r="K119" i="4"/>
  <c r="D120" i="4"/>
  <c r="E120" i="4"/>
  <c r="F120" i="4"/>
  <c r="G120" i="4"/>
  <c r="H120" i="4"/>
  <c r="I120" i="4"/>
  <c r="J120" i="4"/>
  <c r="K120" i="4"/>
  <c r="D121" i="4"/>
  <c r="E121" i="4"/>
  <c r="F121" i="4"/>
  <c r="G121" i="4"/>
  <c r="H121" i="4"/>
  <c r="I121" i="4"/>
  <c r="J121" i="4"/>
  <c r="K121" i="4"/>
  <c r="D122" i="4"/>
  <c r="E122" i="4"/>
  <c r="F122" i="4"/>
  <c r="G122" i="4"/>
  <c r="H122" i="4"/>
  <c r="I122" i="4"/>
  <c r="J122" i="4"/>
  <c r="K122" i="4"/>
  <c r="D123" i="4"/>
  <c r="E123" i="4"/>
  <c r="F123" i="4"/>
  <c r="G123" i="4"/>
  <c r="H123" i="4"/>
  <c r="I123" i="4"/>
  <c r="J123" i="4"/>
  <c r="K123" i="4"/>
  <c r="D124" i="4"/>
  <c r="E124" i="4"/>
  <c r="F124" i="4"/>
  <c r="G124" i="4"/>
  <c r="H124" i="4"/>
  <c r="I124" i="4"/>
  <c r="J124" i="4"/>
  <c r="K124" i="4"/>
  <c r="D125" i="4"/>
  <c r="E125" i="4"/>
  <c r="F125" i="4"/>
  <c r="G125" i="4"/>
  <c r="H125" i="4"/>
  <c r="I125" i="4"/>
  <c r="J125" i="4"/>
  <c r="K125" i="4"/>
  <c r="D126" i="4"/>
  <c r="E126" i="4"/>
  <c r="F126" i="4"/>
  <c r="G126" i="4"/>
  <c r="H126" i="4"/>
  <c r="I126" i="4"/>
  <c r="J126" i="4"/>
  <c r="K126" i="4"/>
  <c r="D127" i="4"/>
  <c r="E127" i="4"/>
  <c r="F127" i="4"/>
  <c r="G127" i="4"/>
  <c r="H127" i="4"/>
  <c r="I127" i="4"/>
  <c r="J127" i="4"/>
  <c r="K127" i="4"/>
  <c r="D128" i="4"/>
  <c r="E128" i="4"/>
  <c r="F128" i="4"/>
  <c r="G128" i="4"/>
  <c r="H128" i="4"/>
  <c r="I128" i="4"/>
  <c r="J128" i="4"/>
  <c r="K128" i="4"/>
  <c r="D129" i="4"/>
  <c r="E129" i="4"/>
  <c r="F129" i="4"/>
  <c r="G129" i="4"/>
  <c r="H129" i="4"/>
  <c r="I129" i="4"/>
  <c r="J129" i="4"/>
  <c r="K129" i="4"/>
  <c r="D130" i="4"/>
  <c r="E130" i="4"/>
  <c r="F130" i="4"/>
  <c r="G130" i="4"/>
  <c r="H130" i="4"/>
  <c r="I130" i="4"/>
  <c r="J130" i="4"/>
  <c r="K130" i="4"/>
  <c r="D131" i="4"/>
  <c r="E131" i="4"/>
  <c r="F131" i="4"/>
  <c r="G131" i="4"/>
  <c r="H131" i="4"/>
  <c r="I131" i="4"/>
  <c r="J131" i="4"/>
  <c r="K131" i="4"/>
  <c r="D132" i="4"/>
  <c r="E132" i="4"/>
  <c r="F132" i="4"/>
  <c r="G132" i="4"/>
  <c r="H132" i="4"/>
  <c r="I132" i="4"/>
  <c r="J132" i="4"/>
  <c r="K132" i="4"/>
  <c r="D133" i="4"/>
  <c r="E133" i="4"/>
  <c r="F133" i="4"/>
  <c r="G133" i="4"/>
  <c r="H133" i="4"/>
  <c r="I133" i="4"/>
  <c r="J133" i="4"/>
  <c r="K133" i="4"/>
  <c r="D134" i="4"/>
  <c r="E134" i="4"/>
  <c r="F134" i="4"/>
  <c r="G134" i="4"/>
  <c r="H134" i="4"/>
  <c r="I134" i="4"/>
  <c r="J134" i="4"/>
  <c r="K134" i="4"/>
  <c r="D135" i="4"/>
  <c r="E135" i="4"/>
  <c r="F135" i="4"/>
  <c r="G135" i="4"/>
  <c r="H135" i="4"/>
  <c r="I135" i="4"/>
  <c r="J135" i="4"/>
  <c r="K135" i="4"/>
  <c r="D136" i="4"/>
  <c r="E136" i="4"/>
  <c r="F136" i="4"/>
  <c r="G136" i="4"/>
  <c r="H136" i="4"/>
  <c r="I136" i="4"/>
  <c r="J136" i="4"/>
  <c r="K136" i="4"/>
  <c r="D137" i="4"/>
  <c r="E137" i="4"/>
  <c r="F137" i="4"/>
  <c r="G137" i="4"/>
  <c r="H137" i="4"/>
  <c r="I137" i="4"/>
  <c r="J137" i="4"/>
  <c r="K137" i="4"/>
  <c r="D138" i="4"/>
  <c r="E138" i="4"/>
  <c r="F138" i="4"/>
  <c r="G138" i="4"/>
  <c r="H138" i="4"/>
  <c r="I138" i="4"/>
  <c r="J138" i="4"/>
  <c r="K138" i="4"/>
  <c r="D139" i="4"/>
  <c r="E139" i="4"/>
  <c r="F139" i="4"/>
  <c r="G139" i="4"/>
  <c r="H139" i="4"/>
  <c r="I139" i="4"/>
  <c r="J139" i="4"/>
  <c r="K139" i="4"/>
  <c r="D140" i="4"/>
  <c r="E140" i="4"/>
  <c r="F140" i="4"/>
  <c r="G140" i="4"/>
  <c r="H140" i="4"/>
  <c r="I140" i="4"/>
  <c r="J140" i="4"/>
  <c r="K140" i="4"/>
  <c r="D141" i="4"/>
  <c r="E141" i="4"/>
  <c r="F141" i="4"/>
  <c r="G141" i="4"/>
  <c r="H141" i="4"/>
  <c r="I141" i="4"/>
  <c r="J141" i="4"/>
  <c r="K141" i="4"/>
  <c r="D142" i="4"/>
  <c r="E142" i="4"/>
  <c r="F142" i="4"/>
  <c r="G142" i="4"/>
  <c r="H142" i="4"/>
  <c r="I142" i="4"/>
  <c r="J142" i="4"/>
  <c r="K142" i="4"/>
  <c r="D143" i="4"/>
  <c r="E143" i="4"/>
  <c r="F143" i="4"/>
  <c r="G143" i="4"/>
  <c r="H143" i="4"/>
  <c r="I143" i="4"/>
  <c r="J143" i="4"/>
  <c r="K143" i="4"/>
  <c r="D144" i="4"/>
  <c r="E144" i="4"/>
  <c r="F144" i="4"/>
  <c r="G144" i="4"/>
  <c r="H144" i="4"/>
  <c r="I144" i="4"/>
  <c r="J144" i="4"/>
  <c r="K144" i="4"/>
  <c r="D145" i="4"/>
  <c r="E145" i="4"/>
  <c r="F145" i="4"/>
  <c r="G145" i="4"/>
  <c r="H145" i="4"/>
  <c r="I145" i="4"/>
  <c r="J145" i="4"/>
  <c r="K145" i="4"/>
  <c r="D146" i="4"/>
  <c r="E146" i="4"/>
  <c r="F146" i="4"/>
  <c r="G146" i="4"/>
  <c r="H146" i="4"/>
  <c r="I146" i="4"/>
  <c r="J146" i="4"/>
  <c r="K146" i="4"/>
  <c r="D147" i="4"/>
  <c r="E147" i="4"/>
  <c r="F147" i="4"/>
  <c r="G147" i="4"/>
  <c r="H147" i="4"/>
  <c r="I147" i="4"/>
  <c r="J147" i="4"/>
  <c r="K147" i="4"/>
  <c r="D148" i="4"/>
  <c r="E148" i="4"/>
  <c r="F148" i="4"/>
  <c r="G148" i="4"/>
  <c r="H148" i="4"/>
  <c r="I148" i="4"/>
  <c r="J148" i="4"/>
  <c r="K148" i="4"/>
  <c r="D149" i="4"/>
  <c r="E149" i="4"/>
  <c r="F149" i="4"/>
  <c r="G149" i="4"/>
  <c r="H149" i="4"/>
  <c r="I149" i="4"/>
  <c r="J149" i="4"/>
  <c r="K149" i="4"/>
  <c r="D150" i="4"/>
  <c r="E150" i="4"/>
  <c r="F150" i="4"/>
  <c r="G150" i="4"/>
  <c r="H150" i="4"/>
  <c r="I150" i="4"/>
  <c r="J150" i="4"/>
  <c r="K150" i="4"/>
  <c r="D151" i="4"/>
  <c r="E151" i="4"/>
  <c r="F151" i="4"/>
  <c r="G151" i="4"/>
  <c r="H151" i="4"/>
  <c r="I151" i="4"/>
  <c r="J151" i="4"/>
  <c r="K151" i="4"/>
  <c r="D152" i="4"/>
  <c r="E152" i="4"/>
  <c r="F152" i="4"/>
  <c r="G152" i="4"/>
  <c r="H152" i="4"/>
  <c r="I152" i="4"/>
  <c r="J152" i="4"/>
  <c r="K152" i="4"/>
  <c r="D153" i="4"/>
  <c r="E153" i="4"/>
  <c r="F153" i="4"/>
  <c r="G153" i="4"/>
  <c r="H153" i="4"/>
  <c r="I153" i="4"/>
  <c r="J153" i="4"/>
  <c r="K153" i="4"/>
  <c r="D154" i="4"/>
  <c r="E154" i="4"/>
  <c r="F154" i="4"/>
  <c r="G154" i="4"/>
  <c r="H154" i="4"/>
  <c r="I154" i="4"/>
  <c r="J154" i="4"/>
  <c r="K154" i="4"/>
  <c r="D155" i="4"/>
  <c r="E155" i="4"/>
  <c r="F155" i="4"/>
  <c r="G155" i="4"/>
  <c r="H155" i="4"/>
  <c r="I155" i="4"/>
  <c r="J155" i="4"/>
  <c r="K155" i="4"/>
  <c r="D156" i="4"/>
  <c r="E156" i="4"/>
  <c r="F156" i="4"/>
  <c r="G156" i="4"/>
  <c r="H156" i="4"/>
  <c r="I156" i="4"/>
  <c r="J156" i="4"/>
  <c r="K156" i="4"/>
  <c r="D157" i="4"/>
  <c r="E157" i="4"/>
  <c r="F157" i="4"/>
  <c r="G157" i="4"/>
  <c r="H157" i="4"/>
  <c r="I157" i="4"/>
  <c r="J157" i="4"/>
  <c r="K157" i="4"/>
  <c r="D158" i="4"/>
  <c r="E158" i="4"/>
  <c r="F158" i="4"/>
  <c r="G158" i="4"/>
  <c r="H158" i="4"/>
  <c r="I158" i="4"/>
  <c r="J158" i="4"/>
  <c r="K158" i="4"/>
  <c r="D159" i="4"/>
  <c r="E159" i="4"/>
  <c r="F159" i="4"/>
  <c r="G159" i="4"/>
  <c r="H159" i="4"/>
  <c r="I159" i="4"/>
  <c r="J159" i="4"/>
  <c r="K159" i="4"/>
  <c r="D160" i="4"/>
  <c r="E160" i="4"/>
  <c r="F160" i="4"/>
  <c r="G160" i="4"/>
  <c r="H160" i="4"/>
  <c r="I160" i="4"/>
  <c r="J160" i="4"/>
  <c r="K160" i="4"/>
  <c r="D161" i="4"/>
  <c r="E161" i="4"/>
  <c r="F161" i="4"/>
  <c r="G161" i="4"/>
  <c r="H161" i="4"/>
  <c r="I161" i="4"/>
  <c r="J161" i="4"/>
  <c r="K161" i="4"/>
  <c r="D162" i="4"/>
  <c r="E162" i="4"/>
  <c r="F162" i="4"/>
  <c r="G162" i="4"/>
  <c r="H162" i="4"/>
  <c r="I162" i="4"/>
  <c r="J162" i="4"/>
  <c r="K162" i="4"/>
  <c r="D163" i="4"/>
  <c r="E163" i="4"/>
  <c r="F163" i="4"/>
  <c r="G163" i="4"/>
  <c r="H163" i="4"/>
  <c r="I163" i="4"/>
  <c r="J163" i="4"/>
  <c r="K163" i="4"/>
  <c r="D164" i="4"/>
  <c r="E164" i="4"/>
  <c r="F164" i="4"/>
  <c r="G164" i="4"/>
  <c r="H164" i="4"/>
  <c r="I164" i="4"/>
  <c r="J164" i="4"/>
  <c r="K164" i="4"/>
  <c r="D165" i="4"/>
  <c r="E165" i="4"/>
  <c r="F165" i="4"/>
  <c r="G165" i="4"/>
  <c r="H165" i="4"/>
  <c r="I165" i="4"/>
  <c r="J165" i="4"/>
  <c r="K165" i="4"/>
  <c r="D166" i="4"/>
  <c r="E166" i="4"/>
  <c r="F166" i="4"/>
  <c r="G166" i="4"/>
  <c r="H166" i="4"/>
  <c r="I166" i="4"/>
  <c r="J166" i="4"/>
  <c r="K166" i="4"/>
  <c r="D167" i="4"/>
  <c r="E167" i="4"/>
  <c r="F167" i="4"/>
  <c r="G167" i="4"/>
  <c r="H167" i="4"/>
  <c r="I167" i="4"/>
  <c r="J167" i="4"/>
  <c r="K167" i="4"/>
  <c r="D168" i="4"/>
  <c r="E168" i="4"/>
  <c r="F168" i="4"/>
  <c r="G168" i="4"/>
  <c r="H168" i="4"/>
  <c r="I168" i="4"/>
  <c r="J168" i="4"/>
  <c r="K168" i="4"/>
  <c r="D169" i="4"/>
  <c r="E169" i="4"/>
  <c r="F169" i="4"/>
  <c r="G169" i="4"/>
  <c r="H169" i="4"/>
  <c r="I169" i="4"/>
  <c r="J169" i="4"/>
  <c r="K169" i="4"/>
  <c r="D170" i="4"/>
  <c r="E170" i="4"/>
  <c r="F170" i="4"/>
  <c r="G170" i="4"/>
  <c r="H170" i="4"/>
  <c r="I170" i="4"/>
  <c r="J170" i="4"/>
  <c r="K170" i="4"/>
  <c r="D171" i="4"/>
  <c r="E171" i="4"/>
  <c r="F171" i="4"/>
  <c r="G171" i="4"/>
  <c r="H171" i="4"/>
  <c r="I171" i="4"/>
  <c r="J171" i="4"/>
  <c r="K171" i="4"/>
  <c r="D172" i="4"/>
  <c r="E172" i="4"/>
  <c r="F172" i="4"/>
  <c r="G172" i="4"/>
  <c r="H172" i="4"/>
  <c r="I172" i="4"/>
  <c r="J172" i="4"/>
  <c r="K172" i="4"/>
  <c r="D173" i="4"/>
  <c r="E173" i="4"/>
  <c r="F173" i="4"/>
  <c r="G173" i="4"/>
  <c r="H173" i="4"/>
  <c r="I173" i="4"/>
  <c r="J173" i="4"/>
  <c r="K173" i="4"/>
  <c r="D174" i="4"/>
  <c r="E174" i="4"/>
  <c r="F174" i="4"/>
  <c r="G174" i="4"/>
  <c r="H174" i="4"/>
  <c r="I174" i="4"/>
  <c r="J174" i="4"/>
  <c r="K174" i="4"/>
  <c r="D175" i="4"/>
  <c r="E175" i="4"/>
  <c r="F175" i="4"/>
  <c r="G175" i="4"/>
  <c r="H175" i="4"/>
  <c r="I175" i="4"/>
  <c r="J175" i="4"/>
  <c r="K175" i="4"/>
  <c r="D176" i="4"/>
  <c r="E176" i="4"/>
  <c r="F176" i="4"/>
  <c r="G176" i="4"/>
  <c r="H176" i="4"/>
  <c r="I176" i="4"/>
  <c r="J176" i="4"/>
  <c r="K176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92" i="4"/>
  <c r="C93" i="4"/>
  <c r="C94" i="4"/>
  <c r="C95" i="4"/>
  <c r="C96" i="4"/>
  <c r="C97" i="4"/>
  <c r="C98" i="4"/>
  <c r="C99" i="4"/>
  <c r="C91" i="4"/>
  <c r="L90" i="5" l="1"/>
</calcChain>
</file>

<file path=xl/sharedStrings.xml><?xml version="1.0" encoding="utf-8"?>
<sst xmlns="http://schemas.openxmlformats.org/spreadsheetml/2006/main" count="3457" uniqueCount="389">
  <si>
    <t>Timestamp</t>
  </si>
  <si>
    <t>ชื่อ - นามสกุล</t>
  </si>
  <si>
    <t>รหัสนักศึกษา</t>
  </si>
  <si>
    <t>Email</t>
  </si>
  <si>
    <t>ความซื่อสัตย์และความเป็นผู้นำที่มีจริยธรรม (Integrity and Ethical Leadership)</t>
  </si>
  <si>
    <t>ทัศนคติเพื่อการเติบโตและความสามารถในการเรียนรู้อย่างคล่องตัว (Mindset of Growth and Learning Agility)</t>
  </si>
  <si>
    <t>ความสามารถในการแก้ปัญหาและการคิดเชิงวิพากษ์ (Problem-Solving and Critical Thinking)</t>
  </si>
  <si>
    <t>ความสามารถในการปรับตัว ความว่องไว และความยืดหยุ่น (Adaptability, Agility, and Resilience)</t>
  </si>
  <si>
    <t>ความคิดสร้างสรรค์และการสร้างนวัตกรรมที่มีคุณค่า (Creativity and Value Innovation)</t>
  </si>
  <si>
    <t>การทำงานเป็นทีมและความเห็นอกเห็นใจ (Teamwork and Empathy)</t>
  </si>
  <si>
    <t>การคิดเชิงระบบเพื่อความยั่งยืน (Systems Thinking for Sustainability)</t>
  </si>
  <si>
    <t>นวัตกรรมเพื่อสังคมและความเข้าใจผู้อื่น (Social Innovation and Empathy)</t>
  </si>
  <si>
    <t>การคิดเชิงกลยุทธ์ การบริหารความเสี่ยง และการมองการณ์ไกล (Strategic, Risk, and Visionary Thinking)</t>
  </si>
  <si>
    <t>ทวีทรัพย์ ทราบจังหรีด</t>
  </si>
  <si>
    <t>B6635541</t>
  </si>
  <si>
    <t>jkprakung@gmail.com</t>
  </si>
  <si>
    <t>6. ผู้เชี่ยวชาญ - เป็นผู้นำด้วยตัวอย่างที่ดี ช่วยทีมแก้ปัญหายาก ๆ อย่างโปร่งใสและมีจริยธรรม, วางแนวทางป้องกันความเสี่ยงด้านจริยธรรม รวมถึงใช้อินเทอร์เน็ตอย่างรับผิดชอบ</t>
  </si>
  <si>
    <t>4. ชำนาญ - ชอบงานที่ท้าทาย สรุปข้อผิดพลาดเป็นบทเรียน และมักจะไม่กลัวที่จะลองแนวทางใหม่ ๆ, มีแผนจะพัฒนาตัวเองอย่างต่อเนื่องในเรื่องที่สนใจ</t>
  </si>
  <si>
    <t>4. ชำนาญ - คาดการณ์อุปสรรคได้ดี เลือกทางแก้ปัญหาที่เหมาะสม และปรับเปลี่ยนได้เมื่อเจอสถานการณ์จริง, ใช้ข้อมูลหรือหลักเหตุผลในการตัดสินใจ</t>
  </si>
  <si>
    <t>5. ก้าวหน้า - ช่วยเหลือหรือปลอบใจทีมให้มองการเปลี่ยนแปลงเป็นโอกาสใหม่, นำเสนอไอเดียสำรองหรือวิธีแก้ไขปัญหาทันทีเมื่อเกิดสถานการณ์ไม่คาดคิด</t>
  </si>
  <si>
    <t>5. ก้าวหน้า - ชวนทีมร่วมกันคิด “นอกกรอบ” และริเริ่มโปรเจกต์นวัตกรรมที่เห็นผลเป็นรูปธรรม, นำเสนอผลงานเชิงสร้างสรรค์ให้คนกลุ่มกว้างยอมรับ</t>
  </si>
  <si>
    <t>4. ชำนาญ - ให้กำลังใจทีม คอยดึงศักยภาพของแต่ละคนมาร่วมแก้ปัญหา, รักษาบรรยากาศที่ทุกคนรู้สึกปลอดภัยและเป็นส่วนหนึ่งของทีม</t>
  </si>
  <si>
    <t>4. ชำนาญ - ออกแบบโครงการขนาดกลางที่คำนึงถึงต้นทุน ผลกระทบต่อสังคมและสิ่งแวดล้อม เช่น วิจัยเล็ก ๆ เพื่อหาข้อมูลสนับสนุนการตัดสินใจ</t>
  </si>
  <si>
    <t>3. พัฒนา - ทำกิจกรรมร่วมกับกลุ่มเล็ก ๆ ในชุมชน/องค์กร และเห็นผลลัพธ์เบื้องต้น (เช่น ลดขยะในโรงเรียน), เริ่มรับฟังเสียงผู้ได้รับผลกระทบเพื่อปรับแนวคิดให้สอดคล้องความต้องการจริง</t>
  </si>
  <si>
    <t>5. ก้าวหน้า - นำเสนอแผนหรือโครงการที่ “ท้าทาย” พร้อมรับมือความเสี่ยงอย่างเป็นระบบ, ต่อยอดโอกาสจนสร้างผลลัพธ์ชัดเจนในระดับทีม/หน่วยงาน</t>
  </si>
  <si>
    <t>ภิริษา อาภรแก้ว</t>
  </si>
  <si>
    <t>B6624118</t>
  </si>
  <si>
    <t>phirisaarporn26@gmail.com</t>
  </si>
  <si>
    <t>1. ตระหนักรู้ - รู้ว่าความซื่อสัตย์เป็นสิ่งสำคัญ แต่บางครั้งยังมองหาผลประโยชน์ระยะสั้น, ไม่ค่อยตระหนักถึงผลกระทบต่อความไว้วางใจในอนาคต</t>
  </si>
  <si>
    <t>2. เริ่มลอง - เริ่มลองทำสิ่งใหม่ ๆ หากมีคนกระตุ้นหรือแนะนำ แต่มักจะถอยหากเจอความยาก, รับฟังคำแนะนำบ้าง แต่ไม่ได้นำไปพัฒนาตนเองเต็มที่</t>
  </si>
  <si>
    <t>1. ตระหนักรู้ - มองเห็นปัญหาพื้นฐานได้ แต่ไม่ค่อยมีแนวทางแก้, ไม่ค่อยแตกปัญหาออกเป็นส่วนย่อย และยังไม่มองเห็น “โอกาส” ในปัญหา</t>
  </si>
  <si>
    <t>3. พัฒนา - ควบคุมอารมณ์ตนเองได้ดีขึ้นแม้เกิดความเปลี่ยนแปลง, มองความผิดพลาดเป็นบทเรียนและปรับแนวทางเล็กน้อยเพื่อเดินหน้าต่อ</t>
  </si>
  <si>
    <t>1. ตระหนักรู้ - มีไอเดียอยู่บ้าง แต่ไม่มั่นใจว่าจะเปลี่ยนเป็นผลงานจริงได้อย่างไร, ไม่ค่อยตั้งคำถามว่าวิธีเดิม ๆ มีจุดปรับปรุงหรือไม่</t>
  </si>
  <si>
    <t>2. เริ่มลอง - พยายามทำงานร่วมกับเพื่อนบ้าง แต่ยังขาดทักษะการสื่อสารหรือการช่วยเหลือที่ต่อเนื่อง, เริ่มเข้าใจว่าการแบ่งงานอย่างเหมาะสมเป็นเรื่องสำคัญ</t>
  </si>
  <si>
    <t>2. เริ่มลอง - เริ่มใส่ใจกับผลกระทบต่อชุมชนหรือธรรมชาติ แต่ยังขาดเครื่องมือหรือวิธีวิเคราะห์ด้านต้นทุน/ทรัพยากร</t>
  </si>
  <si>
    <t>2. เริ่มลอง - เสนอไอเดียช่วยเหลือสังคมเล็ก ๆ (เช่น ระดมของบริจาค) แต่ยังไม่ได้ทดสอบหรือปรับปรุงซับซ้อน</t>
  </si>
  <si>
    <t>1. ตระหนักรู้ - ตั้งเป้าหมายสั้น ๆ แบบง่าย ๆ ไม่กล้าคิดไกลหรือเลี่ยงความเสี่ยง</t>
  </si>
  <si>
    <t>ธัญวรัตน์ กิจไพบูลย์ชัย</t>
  </si>
  <si>
    <t>B6635282</t>
  </si>
  <si>
    <t>Thunwarat072@gmail.com</t>
  </si>
  <si>
    <t>2. เริ่มลอง - พยายามทำตัวซื่อสัตย์และเป็นธรรมขึ้น แต่ถ้าไม่มีใครเห็นอาจปล่อยผ่านหรือใช้ “ทางลัด” , เริ่มสนใจว่าการกระทำของตนอาจส่งผลต่อผู้อื่นได้ แต่ยังไม่สม่ำเสมอ</t>
  </si>
  <si>
    <t>3. พัฒนา - เปิดรับคำติชม (Feedback) และนำไปปรับปรุงการทำงาน, พยายามเผชิญความยากโดยคิดว่า “นี่คือโอกาสฝึกฝน”</t>
  </si>
  <si>
    <t>1. ตระหนักรู้ - รู้ว่าการ “ปรับตัว” เป็นเรื่องสำคัญ แต่ถ้าเจออุปสรรคจะค่อนข้างกังวลหรือยอมแพ้ง่าย</t>
  </si>
  <si>
    <t>2. เริ่มลอง - กล้าเสนอไอเดียใหม่ ๆ ขนาดเล็ก แต่ยังต้องการความช่วยเหลือในการขัดเกลา, ทดลองปรับเล็กน้อยในสิ่งที่ทำอยู่เป็นประจำ</t>
  </si>
  <si>
    <t>2. เริ่มลอง - มีเป้าหมายชัดเจนเล็กน้อย แต่ยังไม่ได้ประเมินความเสี่ยง/โอกาสเท่าไร</t>
  </si>
  <si>
    <t>นางสาวสุกัญญา ไพรัตน์</t>
  </si>
  <si>
    <t>B6624200</t>
  </si>
  <si>
    <t>sukhanya1448@gmail.com</t>
  </si>
  <si>
    <t>5. ก้าวหน้า - ชวนเพื่อนหรือทีมทำในสิ่งที่ถูกต้อง กล้าเตือนเมื่อมีสิ่งไม่เป็นธรรม, สร้างความสัมพันธ์ระยะยาวที่เน้นความเชื่อใจและความเคารพซึ่งกันและกัน</t>
  </si>
  <si>
    <t>5. ก้าวหน้า - กระตุ้นให้เพื่อนหรือทีมมองความผิดพลาดเป็นเรื่องปกติของการเรียนรู้, แชร์เทคนิคหรือวิธีพัฒนาตนเองกับผู้อื่น และสนับสนุนการเติบโตของทีม</t>
  </si>
  <si>
    <t>3. พัฒนา - ระดมสมองร่วมกับผู้อื่น สร้างต้นแบบ (Prototype) หรือตัวอย่างเพื่อลองใช้, คิดถึงวิธีปรับเปลี่ยนงานให้ดีขึ้นและเช็คผลกับกลุ่มเป้าหมาย</t>
  </si>
  <si>
    <t>5. ก้าวหน้า - จัดการความขัดแย้งได้อย่างสร้างสรรค์ ให้ทุกฝ่ายรู้สึกได้รับการรับฟัง, สร้างกฎกติกาหรือแนวทางทำงานที่เสริมความสามัคคีและเป้าหมายร่วม</t>
  </si>
  <si>
    <t>3. พัฒนา - วางแผนเป็นขั้นตอนและเริ่มคำนึงถึงปัจจัยเสี่ยง (Risk) มีแผนสำรอง, มองเป้าหมายระยะปานกลาง (เช่น ภาคการศึกษา/ปีการศึกษา)</t>
  </si>
  <si>
    <t>อดิศร พิศณาวงษ์</t>
  </si>
  <si>
    <t>B6624170</t>
  </si>
  <si>
    <t>Pissanawong.2005@gmail.com</t>
  </si>
  <si>
    <t>2. เริ่มลอง - หากมีคนคอยแนะนำ จะสามารถแยกปัญหาออกเป็นขั้นตอนง่าย ๆ, เริ่มคิดหาไอเดียใหม่ ๆ ได้บ้าง แต่ยังไม่ค่อยประเมินข้อดี‐ข้อเสียเท่าไร</t>
  </si>
  <si>
    <t>2. เริ่มลอง - เมื่อมีคนให้กำลังใจ สามารถพยายามรับมือกับการเปลี่ยนแปลงได้บ้าง, ยังเครียดง่ายถ้าแผนไม่เป็นไปตามที่คิดไว้</t>
  </si>
  <si>
    <t>1. ตระหนักรู้ - สังเกตเห็นปัญหาสังคม (เช่น ความยากจน มลพิษ) แต่ยังไม่รู้วิธีลงมือแก้</t>
  </si>
  <si>
    <t>ธนกมล จอสูงเนิน</t>
  </si>
  <si>
    <t>B6624149</t>
  </si>
  <si>
    <t>tanakamol2317@gmail.com</t>
  </si>
  <si>
    <t>4. ชำนาญ - ยึดหลักจริยธรรมแม้อาจขัดกับกระแสนิยม คนรอบข้างมองว่า “ไว้ใจได้”, กล้ารับผิดชอบในสิ่งที่ทำ รวมถึงออนไลน์ (เช่น ลบ/แก้ไขเนื้อหาไม่เหมาะสม)</t>
  </si>
  <si>
    <t>3. พัฒนา - ลองมองปัญหาหลายมุม เชื่อมโยงโอกาสที่อาจเกิด, เริ่มวางแผนล่วงหน้า (วางขั้นตอน/เตรียมรับมือความเสี่ยง)</t>
  </si>
  <si>
    <t>3. พัฒนา - เสนอแนวทางเล็ก ๆ ที่รวมประโยชน์หลายด้าน เช่น จัดกิจกรรมรีไซเคิลที่คุ้มค่าและช่วยชุมชน</t>
  </si>
  <si>
    <t>ณัชชาสังเกตุ</t>
  </si>
  <si>
    <t>B6635480</t>
  </si>
  <si>
    <t>nxtchasangket@gmail.com</t>
  </si>
  <si>
    <t xml:space="preserve">นางสาวกนกวรรณ เอี่ยมนอก </t>
  </si>
  <si>
    <t>B6635213</t>
  </si>
  <si>
    <t>kanokwan25104@gmail.com</t>
  </si>
  <si>
    <t>3. พัฒนา - ปกติยืนหยัดในความถูกต้อง คำนึงว่าคนอื่นจะไว้วางใจตนเองหรือไม่, ก่อนโพสต์หรือแชร์อะไรออนไลน์ ก็คิดถึงผลกระทบต่อชื่อเสียงและคนรอบข้าง</t>
  </si>
  <si>
    <t>3. พัฒนา - แจกจ่ายงานอย่างเท่าเทียม รับฟังไอเดีย และช่วยคลี่คลายความเข้าใจผิดเล็ก ๆ, สร้างบรรยากาศที่เพื่อนกล้าพูดและทำงานร่วมกัน</t>
  </si>
  <si>
    <t>ศิริรัตน์ ขวาวัดกลาง</t>
  </si>
  <si>
    <t>B6635084</t>
  </si>
  <si>
    <t>siriratkhwawatklang@gmail.com</t>
  </si>
  <si>
    <t>5. ก้าวหน้า - นำโครงการใหญ่ที่มองครบมิติ (สิ่งแวดล้อม/คน/เศรษฐกิจ) และวัดผลลัพธ์ได้จริง, ดึงคนหลายฝ่ายเข้ามาร่วมมือ เกิดเป็น “ระบบ” ที่ให้ประโยชน์ระยะยาว</t>
  </si>
  <si>
    <t>นางสาวกรวีร์ พิมสิม</t>
  </si>
  <si>
    <t>B6624248</t>
  </si>
  <si>
    <t>ffangkrorawee@gmail.com</t>
  </si>
  <si>
    <t>ธีระสิทธิ์ ดวงศิริ</t>
  </si>
  <si>
    <t>B6635466</t>
  </si>
  <si>
    <t>b6645466@sut.ac.th</t>
  </si>
  <si>
    <t>นางสาวสุชานันท์ ต่อพันธ์</t>
  </si>
  <si>
    <t>B6635268</t>
  </si>
  <si>
    <t>suchanantorphan2@gmail.com</t>
  </si>
  <si>
    <t>7. ผู้มีวิสัยทัศน์ - สร้าง/ปลูกฝังวัฒนธรรมองค์กรหรือชุมชนที่มีมาตรฐานด้านความซื่อสัตย์และความยุติธรรมสูง, ออกแบบระบบและนโยบายส่งเสริมคุณธรรมและความไว้วางใจระยะยาว</t>
  </si>
  <si>
    <t>ปพิชญา ทับพุดซา</t>
  </si>
  <si>
    <t>B6635206</t>
  </si>
  <si>
    <t>papichayaze@gmail.com</t>
  </si>
  <si>
    <t>7. ผู้มีวิสัยทัศน์ - ยกระดับวิธีแก้ปัญหาให้เกิดการเปลี่ยนแปลงเชิงระบบ หรือกระตุ้นให้เกิด “วิธีคิดแบบใหม่”, สร้างมาตรฐาน/กระบวนการแก้ปัญหาที่คนวงกว้างนำไปใช้</t>
  </si>
  <si>
    <t>6. ผู้เชี่ยวชาญ - เป็นแกนหลักในการนำทีมผ่านช่วงวิกฤต วางกลยุทธ์รับมือการเปลี่ยนแปลงที่ซับซ้อน, สร้างสภาพแวดล้อมที่ยืดหยุ่นและพร้อมรับมืออนาคต</t>
  </si>
  <si>
    <t>7. ผู้มีวิสัยทัศน์ - ปรับเปลี่ยนแนวคิดเชิงระบบในระดับกว้าง (นโยบาย โรงเรียน ชุมชน องค์กร) ให้เห็นความสำคัญของความยั่งยืนอย่างเด่นชัด</t>
  </si>
  <si>
    <t>5. ก้าวหน้า -ออกแบบโครงการเชิงนวัตกรรมเพื่อแก้ปัญหาสังคมที่ยาก และดึงคนหลายฝ่ายมามีส่วนร่วม (รวมถึงหน่วยงานรัฐ, เอกชน)</t>
  </si>
  <si>
    <t>7. ผู้มีวิสัยทัศน์ - วางเป้าหมายยาวไกลในระดับองค์กร/ชุมชน/สังคม พร้อมแผนปฏิบัติรอบคอบ, ขับเคลื่อนการเปลี่ยนแปลงครั้งใหญ่ให้เป็นรูปธรรมและยั่งยืนในวงกว้าง</t>
  </si>
  <si>
    <t>ศลุตา บุญปก</t>
  </si>
  <si>
    <t>B6624309</t>
  </si>
  <si>
    <t>salutra625@gmail.com</t>
  </si>
  <si>
    <t>นางสาวสุกัญญา แสงจันทร์</t>
  </si>
  <si>
    <t>B6635596</t>
  </si>
  <si>
    <t>Sukanyasangchan2004@gmail.com</t>
  </si>
  <si>
    <t>4. ชำนาญ - ปรับตัวเก่ง ไม่กลัว “พลิกแพลง” แผนเมื่อจำเป็น, ฟื้นตัวได้ไวหากโปรเจกต์ล้มเหลว และพร้อมเรียนรู้เพื่อไม่ให้ซ้ำรอย</t>
  </si>
  <si>
    <t>ชนาภัทร เฉียดกลาง</t>
  </si>
  <si>
    <t>B6600969</t>
  </si>
  <si>
    <t>Chaidklangc123@gmail.com</t>
  </si>
  <si>
    <t>1. ตระหนักรู้ - รู้ว่าควรเรียนรู้สิ่งใหม่ ๆ แต่ยังเลี่ยงงานที่ยากหรือท้าทาย, หากได้รับคำติชม อาจรู้สึกปิดกั้นหรือเฉย ๆ โดยไม่ได้ลงมือปรับปรุงจริงจัง</t>
  </si>
  <si>
    <t>4. ชำนาญ - วางแผนและประเมินความต้องการชุมชนอย่างต่อเนื่อง พร้อมทดลองปรับแนวคิด (Prototype &amp; Feedback), สร้างเครือข่ายความร่วมมือมากขึ้น</t>
  </si>
  <si>
    <t>นางสาวมัคณีญากรณ์ หวังกรุงกลาง</t>
  </si>
  <si>
    <t>B6624231</t>
  </si>
  <si>
    <t>mp9610158@gmail.com</t>
  </si>
  <si>
    <t>6. ผู้เชี่ยวชาญ - เป็นผู้นำทีมอย่างมีประสิทธิภาพ ช่วยสอนเทคนิคการทำงานร่วมกัน และให้ทุกเสียงมีความหมาย, จัดระบบหรือโครงสร้างให้ทีมทำงานได้อย่างมีพลัง</t>
  </si>
  <si>
    <t>มยุรี เรืองสันเทียะ</t>
  </si>
  <si>
    <t>B6624191</t>
  </si>
  <si>
    <t>mayureerueangsuntea@gmail.com</t>
  </si>
  <si>
    <t>ปาณิสรา เกตุทรัพย์</t>
  </si>
  <si>
    <t>B6635046</t>
  </si>
  <si>
    <t>panisaragrand@gmail.com</t>
  </si>
  <si>
    <t>ณหทัย สุขดี</t>
  </si>
  <si>
    <t>B6600761</t>
  </si>
  <si>
    <t>nahathaifah27@gmail.com</t>
  </si>
  <si>
    <t>พิรดา คมจอหอ</t>
  </si>
  <si>
    <t>B6635190</t>
  </si>
  <si>
    <t>bigmobile5077@gmail.com</t>
  </si>
  <si>
    <t>จิรัสยา ใจซื่อ</t>
  </si>
  <si>
    <t xml:space="preserve">B6624217 </t>
  </si>
  <si>
    <t>Jaisue2547@gmail.com</t>
  </si>
  <si>
    <t>4. ชำนาญ - ผลงานที่สร้างสรรค์ออกมามีประโยชน์ชัดเจน เช่น ประหยัดเวลา แก้ปัญหา หรือยกระดับคุณภาพชีวิต, มักตั้งคำถามกับวิธีเดิม ๆ เพื่อหาทางพัฒนา</t>
  </si>
  <si>
    <t>จิดาภา สุทธิอมร</t>
  </si>
  <si>
    <t>B6635176</t>
  </si>
  <si>
    <t>jidapaporpy2547@gmail.com</t>
  </si>
  <si>
    <t>จรรยพร อินทร์วิเศษ</t>
  </si>
  <si>
    <t>B6635107</t>
  </si>
  <si>
    <t>Chanyaporninviset@gmail.com</t>
  </si>
  <si>
    <t>กชกร ชัยศรี</t>
  </si>
  <si>
    <t>B6635374</t>
  </si>
  <si>
    <t>justalazymeow@gmail.com</t>
  </si>
  <si>
    <t>นางสาวปิยาภัสร์  ถางสูงเนิน</t>
  </si>
  <si>
    <t>B6635121</t>
  </si>
  <si>
    <t>mymin2547piya@gmail.com</t>
  </si>
  <si>
    <t>1. ตระหนักรู้ - พอเข้าใจว่าสิ่งแวดล้อม สังคม และเศรษฐกิจเกี่ยวข้องกัน แต่ไม่ค่อยคำนึงถึงผลกระทบระยะยาว</t>
  </si>
  <si>
    <t>ปริตานันท์ หลวงเรื่อง</t>
  </si>
  <si>
    <t>B6635114</t>
  </si>
  <si>
    <t>25472pp@gmail.com</t>
  </si>
  <si>
    <t>ณัฏฐธิดา โพธิรัตน์</t>
  </si>
  <si>
    <t>B663509-</t>
  </si>
  <si>
    <t>Natthathidaphothirat15@gmail.com</t>
  </si>
  <si>
    <t>7. ผู้มีวิสัยทัศน์ - สร้างวัฒนธรรม Teamwork ข้ามแผนก/องค์กร/ชุมชน ขยายขอบเขตความร่วมมือขนาดใหญ่, ดึงศักยภาพหลากหลายมาสร้าง “คุณค่าร่วม (Shared Value)” สู่สังคม</t>
  </si>
  <si>
    <t>นางสาวสิรินภา อินทรมงคล</t>
  </si>
  <si>
    <t>B6624354</t>
  </si>
  <si>
    <t>sirinapa252005@gmail.com</t>
  </si>
  <si>
    <t>7. ผู้มีวิสัยทัศน์ - เปลี่ยนแปลงสังคมในวงกว้าง สร้างผลลัพธ์ยั่งยืนระดับนโยบายหรือวัฒนธรรมสาธารณะ, เป็นผู้นำการรณรงค์สำคัญระดับจังหวัด/ประเทศ</t>
  </si>
  <si>
    <t>จิรกานต์ พรหมบุตร</t>
  </si>
  <si>
    <t>B6624378</t>
  </si>
  <si>
    <t>kuljirakarn@gmail.com</t>
  </si>
  <si>
    <t>ศุภานิช จันทร์สว่าง</t>
  </si>
  <si>
    <t>B6635664</t>
  </si>
  <si>
    <t>Supanit123jansawang@gmail.com</t>
  </si>
  <si>
    <t>นางสาวอธิติญา  ชาติดร</t>
  </si>
  <si>
    <t>B6635398</t>
  </si>
  <si>
    <t>athitiya0723@gmail.com</t>
  </si>
  <si>
    <t>ตุลยดา แสงแก้ว</t>
  </si>
  <si>
    <t>B6635404</t>
  </si>
  <si>
    <t>tulyada.sangkeaw2004@gmail.com</t>
  </si>
  <si>
    <t>ปันฟ้า ระวังงาน</t>
  </si>
  <si>
    <t>B6624415</t>
  </si>
  <si>
    <t>baengbhanpha@gmail.com</t>
  </si>
  <si>
    <t>ธนพล วงค์สาร</t>
  </si>
  <si>
    <t>B6635343</t>
  </si>
  <si>
    <t>b6635343@g.sut.ac.th</t>
  </si>
  <si>
    <t>4. ชำนาญ - สร้างกลยุทธ์สำหรับโปรเจกต์ขนาดกลาง‐ใหญ่ และติดตามความคืบหน้าเป็นระยะ, วิเคราะห์โอกาส/ความเสี่ยงได้ดีพอควร</t>
  </si>
  <si>
    <t>กัญรัตน์ ขันธวิชัย</t>
  </si>
  <si>
    <t>B6635435</t>
  </si>
  <si>
    <t>kanyaratkt888@gmail.com</t>
  </si>
  <si>
    <t>ชลลดา บุตรวิเศษ</t>
  </si>
  <si>
    <t>B6624293</t>
  </si>
  <si>
    <t>chonvw2004@gmail.com</t>
  </si>
  <si>
    <t>นางสาวรักษิณา อินทะยาตร</t>
  </si>
  <si>
    <t>B6635138</t>
  </si>
  <si>
    <t>phingrsn09@gmail.com</t>
  </si>
  <si>
    <t>7. ผู้มีวิสัยทัศน์ - ปฏิวัติรูปแบบหรือระบบงานในวงกว้าง ช่วยให้สังคมหรือองค์กรมีมุมมองใหม่, ตั้งมาตรฐานใหม่ด้านนวัตกรรมที่ก่อให้เกิด “คุณค่า” ในระดับนโยบายหรือวัฒนธรรม</t>
  </si>
  <si>
    <t>6. ผู้เชี่ยวชาญ - ขยายโมเดลโครงการไปพื้นที่อื่นหรือต่อยอดสู่กลุ่มใหม่ ๆ พร้อมติดตามวัดผลอย่างเป็นระบบ, ถ่ายทอดแนวคิด/คู่มือให้ผู้อื่นนำไปปรับใช้</t>
  </si>
  <si>
    <t>วันวิสาข์  แถลงกัน</t>
  </si>
  <si>
    <t>B6624279</t>
  </si>
  <si>
    <t>ingon8299@gmail.com</t>
  </si>
  <si>
    <t>โสภิตนภา โชคเหมาะ</t>
  </si>
  <si>
    <t>B6600754</t>
  </si>
  <si>
    <t>sopitnapanoom@gmail.com</t>
  </si>
  <si>
    <t>รดาธร สอนคำแก้ว</t>
  </si>
  <si>
    <t>B6624361</t>
  </si>
  <si>
    <t>supanida.sonkamkaew3@gmail.com</t>
  </si>
  <si>
    <t>ปัทมพร ปันวัง</t>
  </si>
  <si>
    <t>B6635275</t>
  </si>
  <si>
    <t>noeipp34@gmail.com</t>
  </si>
  <si>
    <t>นายมงคล ศรีชุมพล</t>
  </si>
  <si>
    <t>B6624385</t>
  </si>
  <si>
    <t>hmongmong27@gmail.com</t>
  </si>
  <si>
    <t>นางสาววชิรญาณ์ พรมหมอก</t>
  </si>
  <si>
    <t>B6635053</t>
  </si>
  <si>
    <t>wachiraya2547pm@gmail.com</t>
  </si>
  <si>
    <t>นายกฤษตเมธ ธรรมปัญญา</t>
  </si>
  <si>
    <t>B6635312</t>
  </si>
  <si>
    <t>krittamate60086@gmail.com</t>
  </si>
  <si>
    <t>5. ก้าวหน้า - แก้ปัญหาที่ซับซ้อน และชวนทีมให้คิดวิเคราะห์อย่างเป็นระบบ, ประเมินความเสี่ยงและโอกาสได้อย่างรอบคอบ เพื่อให้เกิดผลลัพธ์ที่ดีที่สุด</t>
  </si>
  <si>
    <t>นางสาวเนตรนภิส ชินสอน</t>
  </si>
  <si>
    <t>B6635329</t>
  </si>
  <si>
    <t>netrnphitchinson8@gmail.com</t>
  </si>
  <si>
    <t>นายณรงค์ฤทธิ์</t>
  </si>
  <si>
    <t>ไกลกล</t>
  </si>
  <si>
    <t>Nkaikon727@gmail.com</t>
  </si>
  <si>
    <t>นางสาวศุภางค์ โสดา</t>
  </si>
  <si>
    <t>B6635183</t>
  </si>
  <si>
    <t>suphangsoda@gmail.com</t>
  </si>
  <si>
    <t>ขวัญข้าว ชัยนุบาล</t>
  </si>
  <si>
    <t>B6635077</t>
  </si>
  <si>
    <t>kwankao043@gmail.com</t>
  </si>
  <si>
    <t>นางสาวพรไพลิน คำมูล</t>
  </si>
  <si>
    <t>B6624422</t>
  </si>
  <si>
    <t>got7btsnctaaaaaa@gmail.com</t>
  </si>
  <si>
    <t>จอมสุดา วิชา</t>
  </si>
  <si>
    <t>B6624408</t>
  </si>
  <si>
    <t>Jomsuda.nurse@gmail.com</t>
  </si>
  <si>
    <t>นางสาวกนกอร อ่อนแก้ว</t>
  </si>
  <si>
    <t>B6624330</t>
  </si>
  <si>
    <t>screenkanokon@gmail.com</t>
  </si>
  <si>
    <t>สิรีธร เสพสุข</t>
  </si>
  <si>
    <t>B6624347</t>
  </si>
  <si>
    <t>Viewpkk@gmail.com</t>
  </si>
  <si>
    <t>ศศิวิมล ตั้งภูมิ</t>
  </si>
  <si>
    <t>B6635633</t>
  </si>
  <si>
    <t>Sasiwimol19347@gmail.com</t>
  </si>
  <si>
    <t>นางสาวจันทิมา ศรีไพศาล</t>
  </si>
  <si>
    <t>B6624255</t>
  </si>
  <si>
    <t>jantima.2441@gmail.com</t>
  </si>
  <si>
    <t>ณัฐนรี อุณาศรี</t>
  </si>
  <si>
    <t>B6624392</t>
  </si>
  <si>
    <t>g.daisyyx004@gmail.com</t>
  </si>
  <si>
    <t>นางสาวชนิกานต์ ตันธนสุทธิวงศ์</t>
  </si>
  <si>
    <t>B6624156</t>
  </si>
  <si>
    <t>chanikarnmei@gmail.com</t>
  </si>
  <si>
    <t>ศศิภรณ์ วงค์ประพันธ์</t>
  </si>
  <si>
    <t>B6624316</t>
  </si>
  <si>
    <t>kwnghpraphanth@gmail.com</t>
  </si>
  <si>
    <t>เบญจวรรณ ปิยะนาจ</t>
  </si>
  <si>
    <t>B6624323</t>
  </si>
  <si>
    <t>benjawanpiyanat@gmail.com</t>
  </si>
  <si>
    <t>พัฐสุดา ขวัญกิจพิริยะ</t>
  </si>
  <si>
    <t>B6635589</t>
  </si>
  <si>
    <t>mint16.cv39@gmail.com</t>
  </si>
  <si>
    <t>นางสาวสุดารัตน์  เฮียพุดซา</t>
  </si>
  <si>
    <t>B6635558</t>
  </si>
  <si>
    <t>Sudarat.hearputza@gmail.com</t>
  </si>
  <si>
    <t>6. ผู้เชี่ยวชาญ - สร้างไอเดียใหม่ ๆ ได้สม่ำเสมอ ต่อยอดจนเกิดโซลูชันที่เป็นประโยชน์ในหลายมิติ, เป็นผู้นำความเปลี่ยนแปลงในองค์กรหรือชุมชน เกี่ยวกับ “Value Innovation”</t>
  </si>
  <si>
    <t>นางสาวนนิตา ไพเราะ</t>
  </si>
  <si>
    <t>B6624286</t>
  </si>
  <si>
    <t>nanitapairoa@gmail.com</t>
  </si>
  <si>
    <t>สุพรรณนิกา ริ้วแดง</t>
  </si>
  <si>
    <t>B6624224</t>
  </si>
  <si>
    <t>Supannikarivdang@gmail.com</t>
  </si>
  <si>
    <t>6. ผู้เชี่ยวชาญ - มักคิดค้นแนวทางแก้ปัญหาเชิงนวัตกรรม (Creative Solutions) และเป็น “ที่ปรึกษา” ด้าน Problem‐Solving ให้คนอื่น</t>
  </si>
  <si>
    <t>7. ผู้มีวิสัยทัศน์ - มองเห็น “เมกะเทรนด์” หรือการเปลี่ยนครั้งใหญ่ล่วงหน้า พร้อมปรับแผนงานในระดับระบบหรือองค์กร, สร้างวัฒนธรรมให้ทุกคนแข็งแกร่งและพร้อมปรับตัว</t>
  </si>
  <si>
    <t>6. ผู้เชี่ยวชาญ - สร้างแรงบันดาลใจให้ผู้อื่นด้วยวิสัยทัศน์ที่ยิ่งใหญ่ พร้อมทั้งมองความเสี่ยงรอบด้านและวางแผนรับมืออย่างรอบคอบ เพื่อเปลี่ยนความฝันให้กลายเป็นจริงได้อย่างมั่นคงและยั่งยืน, ประสบความสำเร็จในการทำโครงการที่มีผลกระทบวงกว้าง</t>
  </si>
  <si>
    <t>นางสาวชลลัดดา ทองกาล</t>
  </si>
  <si>
    <t>B6635336</t>
  </si>
  <si>
    <t>chonthong09@gmail.com</t>
  </si>
  <si>
    <t>นางสาวปวิชญา สุดประโคน</t>
  </si>
  <si>
    <t>B6624194</t>
  </si>
  <si>
    <t>pawitchaya0@gmail.com</t>
  </si>
  <si>
    <t>6. ผู้เชี่ยวชาญ - สร้างสภาพแวดล้อมให้ทุกคนกล้าลองผิดลองถูก เช่น จัดเวิร์กช็อปหรือกลุ่มแลกเปลี่ยนความรู้, ติดตามเทรนด์ใหม่ ๆ และสร้างวัฒนธรรม “เรียนรู้ไม่สิ้นสุด”</t>
  </si>
  <si>
    <t>จินต์จุฒา พิมภาคูณ</t>
  </si>
  <si>
    <t>B6635602</t>
  </si>
  <si>
    <t>Chinchota1122fon@gmail.com</t>
  </si>
  <si>
    <t>ปิยะขนก แซ่ตัง</t>
  </si>
  <si>
    <t>B6635305</t>
  </si>
  <si>
    <t>piyachanok.3901@gmail.com</t>
  </si>
  <si>
    <t>อภิรักษ์ พลชาลี</t>
  </si>
  <si>
    <t>B6635244</t>
  </si>
  <si>
    <t>Aphirak282004@gmail.com</t>
  </si>
  <si>
    <t>นางสาวกนกวรรณ  เล่าเลิศ</t>
  </si>
  <si>
    <t>B6635572</t>
  </si>
  <si>
    <t>Fern.kanokwan1502@gmail.com</t>
  </si>
  <si>
    <t>นางสาววรัญญา สุทธิแสน</t>
  </si>
  <si>
    <t>B6635350</t>
  </si>
  <si>
    <t>waranyasutthisaen@gmail.com</t>
  </si>
  <si>
    <t>ภัทรานิษฐ์ นวลพลกรัง</t>
  </si>
  <si>
    <t>B6635428</t>
  </si>
  <si>
    <t>Bemy18jann@gmail.com</t>
  </si>
  <si>
    <t>นางสาวสุชาวดี  เฉียบแหลม</t>
  </si>
  <si>
    <t>B6624262</t>
  </si>
  <si>
    <t>61211suchawadee@gmail.com</t>
  </si>
  <si>
    <t>อิสรีภรณ์ แสงหิรัญ</t>
  </si>
  <si>
    <t>B6635527</t>
  </si>
  <si>
    <t>itsareeporn8@gmail.com</t>
  </si>
  <si>
    <t>รัตนาวดี บัวพงษ์ชน</t>
  </si>
  <si>
    <t>B6635497</t>
  </si>
  <si>
    <t>rattanawadee@nhp.ac.th</t>
  </si>
  <si>
    <t>ภัทรศยา เทพนวน</t>
  </si>
  <si>
    <t>B6635299</t>
  </si>
  <si>
    <t>mosphatsaya@gmail.com</t>
  </si>
  <si>
    <t>เพชรลดา ดีจันทึก</t>
  </si>
  <si>
    <t>B6635152</t>
  </si>
  <si>
    <t>phetladaaimmi@gmail.com</t>
  </si>
  <si>
    <t>ณัฐธิดา เหลื่อมล้ำ</t>
  </si>
  <si>
    <t>B6635657</t>
  </si>
  <si>
    <t>Natthida27062547@gmail.com</t>
  </si>
  <si>
    <t>พณิชา รัตนาธิวัฒน์</t>
  </si>
  <si>
    <t>B6624125</t>
  </si>
  <si>
    <t>benzpanicha954@gmail.com</t>
  </si>
  <si>
    <t>สุชัญญา เกตุเลขา</t>
  </si>
  <si>
    <t>B6635220</t>
  </si>
  <si>
    <t>yourmystar3@gmail.com</t>
  </si>
  <si>
    <t>กัญญาณัฐ ยอดเยี่ยมแกร</t>
  </si>
  <si>
    <t>B6635640</t>
  </si>
  <si>
    <t>Sailee2547@gmail.com</t>
  </si>
  <si>
    <t>นันทิกานต์ พุ่มเพ็ชร</t>
  </si>
  <si>
    <t xml:space="preserve">B6635381 </t>
  </si>
  <si>
    <t>naanthiikaan@gmail.com</t>
  </si>
  <si>
    <t>ศุภาพิชญ์ ศรีสมวงษ์</t>
  </si>
  <si>
    <t>B6635237</t>
  </si>
  <si>
    <t>Supapitmint456@gmail.com</t>
  </si>
  <si>
    <t>ชลาธิป โคตรชมภู</t>
  </si>
  <si>
    <t>B6600778</t>
  </si>
  <si>
    <t>chlathipk@gmail.com</t>
  </si>
  <si>
    <t>ญาณิศา เดชดำรงรักษ์</t>
  </si>
  <si>
    <t>B6635060</t>
  </si>
  <si>
    <t>yanisa.yns2004@gmail.com</t>
  </si>
  <si>
    <t>นางสาวปาณฤทัย หอมหวาน</t>
  </si>
  <si>
    <t>B6635534</t>
  </si>
  <si>
    <t>Panrue.rn@gmail.com</t>
  </si>
  <si>
    <t>ธนิตา วัยวุฒิ</t>
  </si>
  <si>
    <t>B6600785</t>
  </si>
  <si>
    <t>tanita08042547@gmail.com</t>
  </si>
  <si>
    <t>นางสาวณัฐชยา มณีขันธ์</t>
  </si>
  <si>
    <t>B6635169</t>
  </si>
  <si>
    <t>nmaneekhan@gmail.com</t>
  </si>
  <si>
    <t>ศุภัทราภรณ์ พึ่งภูมิ</t>
  </si>
  <si>
    <t>B6635503</t>
  </si>
  <si>
    <t>suphtaraphonog@gmail.com</t>
  </si>
  <si>
    <t>6. ผู้เชี่ยวชาญ - สร้างนวัตกรรมเพื่อความยั่งยืนที่ชัดเจน และเป็นตัวอย่างให้พื้นที่อื่น ๆ ทำตาม, มีบทบาทกำหนดหรือปรับปรุงแนวทาง/นโยบายที่คำนึงถึงภาพรวม</t>
  </si>
  <si>
    <t>เบญญาภา ใจอ่อน</t>
  </si>
  <si>
    <t>B6635459</t>
  </si>
  <si>
    <t>jennyunknown12@gmail.com</t>
  </si>
  <si>
    <t>นางสาวพิมพกานต์  พิมพิศาล</t>
  </si>
  <si>
    <t>B6635145</t>
  </si>
  <si>
    <t>pimpakanpimpisan@gmail.com</t>
  </si>
  <si>
    <t xml:space="preserve">B6624200 </t>
  </si>
  <si>
    <t xml:space="preserve">B6635114 </t>
  </si>
  <si>
    <t>B6635091</t>
  </si>
  <si>
    <t>B6635381</t>
  </si>
  <si>
    <t>Pre</t>
  </si>
  <si>
    <t>Post</t>
  </si>
  <si>
    <t>Pre-Test</t>
  </si>
  <si>
    <t>Post-Test</t>
  </si>
  <si>
    <t>Competencies</t>
  </si>
  <si>
    <t>Pre-test</t>
  </si>
  <si>
    <t>Post-test</t>
  </si>
  <si>
    <t>Difference (Improvement)</t>
  </si>
  <si>
    <t>Rank</t>
  </si>
  <si>
    <t>Average</t>
  </si>
  <si>
    <t>Stdev</t>
  </si>
  <si>
    <t>Level</t>
  </si>
  <si>
    <t>Integrity and Ethical Leadership</t>
  </si>
  <si>
    <t>Mindset of Growth and Learning Agility</t>
  </si>
  <si>
    <t>Problem-Solving and Critical Thinking</t>
  </si>
  <si>
    <t>Adaptability, Agility, and Resilience</t>
  </si>
  <si>
    <t>Creativity and Value Innovation</t>
  </si>
  <si>
    <t>Teamwork and Positive Influence</t>
  </si>
  <si>
    <t>Systems Thinking for Sustainability</t>
  </si>
  <si>
    <t>Social Innovation</t>
  </si>
  <si>
    <t>Strategic, Risk, and Visionary Thinking</t>
  </si>
  <si>
    <t>Mean</t>
  </si>
  <si>
    <t>SD</t>
  </si>
  <si>
    <t>Round SD</t>
  </si>
  <si>
    <t>Likert scale</t>
  </si>
  <si>
    <t>Mean values</t>
  </si>
  <si>
    <t>Interpretation</t>
  </si>
  <si>
    <t>1.00 - 1.85</t>
  </si>
  <si>
    <t>1.86 - 2.71</t>
  </si>
  <si>
    <t>2.72 - 3.57</t>
  </si>
  <si>
    <t>3.58 - 4.43</t>
  </si>
  <si>
    <t>4.44 - 5.29</t>
  </si>
  <si>
    <t>5.30 - 6.15</t>
  </si>
  <si>
    <t>6.16 - 7.00</t>
  </si>
  <si>
    <t>1.ตะหนักรู้</t>
  </si>
  <si>
    <t>2. เริ่มลอง</t>
  </si>
  <si>
    <t>3. พัฒนา</t>
  </si>
  <si>
    <t>4. ชำนาญ</t>
  </si>
  <si>
    <t>5. ก้าวหน้า</t>
  </si>
  <si>
    <t>6. ผู้เชี่ยวชาญ</t>
  </si>
  <si>
    <t>7. ผู้มีวิสัยทัศน์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</si>
</sst>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/>
      <top/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wrapText="1"/>
    </xf>
    <xf numFmtId="2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0" fontId="4" fillId="2" borderId="15" xfId="0" applyFont="1" applyFill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/>
    <xf numFmtId="0" fontId="4" fillId="3" borderId="1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 wrapText="1"/>
    </xf>
    <xf numFmtId="0" fontId="5" fillId="0" borderId="18" xfId="0" applyFont="1" applyBorder="1"/>
    <xf numFmtId="0" fontId="1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M91">
  <tableColumns count="13">
    <tableColumn id="1" xr3:uid="{00000000-0010-0000-0000-000001000000}" name="Timestamp"/>
    <tableColumn id="2" xr3:uid="{00000000-0010-0000-0000-000002000000}" name="ชื่อ - นามสกุล"/>
    <tableColumn id="3" xr3:uid="{00000000-0010-0000-0000-000003000000}" name="รหัสนักศึกษา"/>
    <tableColumn id="4" xr3:uid="{00000000-0010-0000-0000-000004000000}" name="Email"/>
    <tableColumn id="5" xr3:uid="{00000000-0010-0000-0000-000005000000}" name="ความซื่อสัตย์และความเป็นผู้นำที่มีจริยธรรม (Integrity and Ethical Leadership)"/>
    <tableColumn id="6" xr3:uid="{00000000-0010-0000-0000-000006000000}" name="ทัศนคติเพื่อการเติบโตและความสามารถในการเรียนรู้อย่างคล่องตัว (Mindset of Growth and Learning Agility)"/>
    <tableColumn id="7" xr3:uid="{00000000-0010-0000-0000-000007000000}" name="ความสามารถในการแก้ปัญหาและการคิดเชิงวิพากษ์ (Problem-Solving and Critical Thinking)"/>
    <tableColumn id="8" xr3:uid="{00000000-0010-0000-0000-000008000000}" name="ความสามารถในการปรับตัว ความว่องไว และความยืดหยุ่น (Adaptability, Agility, and Resilience)"/>
    <tableColumn id="9" xr3:uid="{00000000-0010-0000-0000-000009000000}" name="ความคิดสร้างสรรค์และการสร้างนวัตกรรมที่มีคุณค่า (Creativity and Value Innovation)"/>
    <tableColumn id="10" xr3:uid="{00000000-0010-0000-0000-00000A000000}" name="การทำงานเป็นทีมและความเห็นอกเห็นใจ (Teamwork and Empathy)"/>
    <tableColumn id="11" xr3:uid="{00000000-0010-0000-0000-00000B000000}" name="การคิดเชิงระบบเพื่อความยั่งยืน (Systems Thinking for Sustainability)"/>
    <tableColumn id="12" xr3:uid="{00000000-0010-0000-0000-00000C000000}" name="นวัตกรรมเพื่อสังคมและความเข้าใจผู้อื่น (Social Innovation and Empathy)"/>
    <tableColumn id="13" xr3:uid="{00000000-0010-0000-0000-00000D000000}" name="การคิดเชิงกลยุทธ์ การบริหารความเสี่ยง และการมองการณ์ไกล (Strategic, Risk, and Visionary Thinking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1"/>
  <sheetViews>
    <sheetView tabSelected="1" topLeftCell="H1" workbookViewId="0">
      <pane ySplit="1" topLeftCell="A2" activePane="bottomLeft" state="frozen"/>
      <selection pane="bottomLeft" activeCell="E1" sqref="E1:M1048576"/>
    </sheetView>
  </sheetViews>
  <sheetFormatPr defaultColWidth="12.7109375" defaultRowHeight="15.75" customHeight="1" x14ac:dyDescent="0.2"/>
  <cols>
    <col min="1" max="4" width="18.85546875" customWidth="1"/>
    <col min="5" max="13" width="37.7109375" customWidth="1"/>
    <col min="14" max="19" width="18.85546875" customWidth="1"/>
  </cols>
  <sheetData>
    <row r="1" spans="1:1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.75" customHeight="1" x14ac:dyDescent="0.2">
      <c r="A2" s="4">
        <v>45722.382927291663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.75" customHeight="1" x14ac:dyDescent="0.2">
      <c r="A3" s="7">
        <v>45722.383029826393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9" t="s">
        <v>36</v>
      </c>
    </row>
    <row r="4" spans="1:13" ht="15.75" customHeight="1" x14ac:dyDescent="0.2">
      <c r="A4" s="4">
        <v>45722.383133912037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30</v>
      </c>
      <c r="H4" s="5" t="s">
        <v>42</v>
      </c>
      <c r="I4" s="5" t="s">
        <v>43</v>
      </c>
      <c r="J4" s="5" t="s">
        <v>33</v>
      </c>
      <c r="K4" s="5" t="s">
        <v>34</v>
      </c>
      <c r="L4" s="5" t="s">
        <v>35</v>
      </c>
      <c r="M4" s="6" t="s">
        <v>44</v>
      </c>
    </row>
    <row r="5" spans="1:13" ht="15.75" customHeight="1" x14ac:dyDescent="0.2">
      <c r="A5" s="7">
        <v>45722.383378402781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18</v>
      </c>
      <c r="H5" s="8" t="s">
        <v>19</v>
      </c>
      <c r="I5" s="8" t="s">
        <v>50</v>
      </c>
      <c r="J5" s="8" t="s">
        <v>51</v>
      </c>
      <c r="K5" s="8" t="s">
        <v>22</v>
      </c>
      <c r="L5" s="8" t="s">
        <v>23</v>
      </c>
      <c r="M5" s="9" t="s">
        <v>52</v>
      </c>
    </row>
    <row r="6" spans="1:13" ht="15.75" customHeight="1" x14ac:dyDescent="0.2">
      <c r="A6" s="4">
        <v>45722.383566342593</v>
      </c>
      <c r="B6" s="5" t="s">
        <v>53</v>
      </c>
      <c r="C6" s="5" t="s">
        <v>54</v>
      </c>
      <c r="D6" s="5" t="s">
        <v>55</v>
      </c>
      <c r="E6" s="5" t="s">
        <v>28</v>
      </c>
      <c r="F6" s="5" t="s">
        <v>41</v>
      </c>
      <c r="G6" s="5" t="s">
        <v>56</v>
      </c>
      <c r="H6" s="5" t="s">
        <v>57</v>
      </c>
      <c r="I6" s="5" t="s">
        <v>32</v>
      </c>
      <c r="J6" s="5" t="s">
        <v>33</v>
      </c>
      <c r="K6" s="5" t="s">
        <v>34</v>
      </c>
      <c r="L6" s="5" t="s">
        <v>58</v>
      </c>
      <c r="M6" s="6" t="s">
        <v>44</v>
      </c>
    </row>
    <row r="7" spans="1:13" ht="15.75" customHeight="1" x14ac:dyDescent="0.2">
      <c r="A7" s="7">
        <v>45722.383601226851</v>
      </c>
      <c r="B7" s="8" t="s">
        <v>59</v>
      </c>
      <c r="C7" s="8" t="s">
        <v>60</v>
      </c>
      <c r="D7" s="8" t="s">
        <v>61</v>
      </c>
      <c r="E7" s="8" t="s">
        <v>62</v>
      </c>
      <c r="F7" s="8" t="s">
        <v>41</v>
      </c>
      <c r="G7" s="8" t="s">
        <v>63</v>
      </c>
      <c r="H7" s="8" t="s">
        <v>31</v>
      </c>
      <c r="I7" s="8" t="s">
        <v>43</v>
      </c>
      <c r="J7" s="8" t="s">
        <v>21</v>
      </c>
      <c r="K7" s="8" t="s">
        <v>64</v>
      </c>
      <c r="L7" s="8" t="s">
        <v>35</v>
      </c>
      <c r="M7" s="9" t="s">
        <v>44</v>
      </c>
    </row>
    <row r="8" spans="1:13" ht="15.75" customHeight="1" x14ac:dyDescent="0.2">
      <c r="A8" s="4">
        <v>45722.383808055558</v>
      </c>
      <c r="B8" s="5" t="s">
        <v>65</v>
      </c>
      <c r="C8" s="5" t="s">
        <v>66</v>
      </c>
      <c r="D8" s="5" t="s">
        <v>67</v>
      </c>
      <c r="E8" s="5" t="s">
        <v>40</v>
      </c>
      <c r="F8" s="5" t="s">
        <v>41</v>
      </c>
      <c r="G8" s="5" t="s">
        <v>56</v>
      </c>
      <c r="H8" s="5" t="s">
        <v>57</v>
      </c>
      <c r="I8" s="5" t="s">
        <v>32</v>
      </c>
      <c r="J8" s="5" t="s">
        <v>33</v>
      </c>
      <c r="K8" s="5" t="s">
        <v>34</v>
      </c>
      <c r="L8" s="5" t="s">
        <v>35</v>
      </c>
      <c r="M8" s="6" t="s">
        <v>36</v>
      </c>
    </row>
    <row r="9" spans="1:13" ht="15.75" customHeight="1" x14ac:dyDescent="0.2">
      <c r="A9" s="7">
        <v>45722.383824976852</v>
      </c>
      <c r="B9" s="8" t="s">
        <v>68</v>
      </c>
      <c r="C9" s="8" t="s">
        <v>69</v>
      </c>
      <c r="D9" s="8" t="s">
        <v>70</v>
      </c>
      <c r="E9" s="8" t="s">
        <v>71</v>
      </c>
      <c r="F9" s="8" t="s">
        <v>17</v>
      </c>
      <c r="G9" s="8" t="s">
        <v>63</v>
      </c>
      <c r="H9" s="8" t="s">
        <v>31</v>
      </c>
      <c r="I9" s="8" t="s">
        <v>43</v>
      </c>
      <c r="J9" s="8" t="s">
        <v>72</v>
      </c>
      <c r="K9" s="8" t="s">
        <v>34</v>
      </c>
      <c r="L9" s="8" t="s">
        <v>35</v>
      </c>
      <c r="M9" s="9" t="s">
        <v>52</v>
      </c>
    </row>
    <row r="10" spans="1:13" ht="15.75" customHeight="1" x14ac:dyDescent="0.2">
      <c r="A10" s="4">
        <v>45722.383925023147</v>
      </c>
      <c r="B10" s="5" t="s">
        <v>73</v>
      </c>
      <c r="C10" s="5" t="s">
        <v>74</v>
      </c>
      <c r="D10" s="5" t="s">
        <v>75</v>
      </c>
      <c r="E10" s="5" t="s">
        <v>48</v>
      </c>
      <c r="F10" s="5" t="s">
        <v>49</v>
      </c>
      <c r="G10" s="5" t="s">
        <v>56</v>
      </c>
      <c r="H10" s="5" t="s">
        <v>42</v>
      </c>
      <c r="I10" s="5" t="s">
        <v>50</v>
      </c>
      <c r="J10" s="5" t="s">
        <v>21</v>
      </c>
      <c r="K10" s="5" t="s">
        <v>76</v>
      </c>
      <c r="L10" s="5" t="s">
        <v>23</v>
      </c>
      <c r="M10" s="6" t="s">
        <v>52</v>
      </c>
    </row>
    <row r="11" spans="1:13" ht="15.75" customHeight="1" x14ac:dyDescent="0.2">
      <c r="A11" s="7">
        <v>45722.383967650458</v>
      </c>
      <c r="B11" s="8" t="s">
        <v>77</v>
      </c>
      <c r="C11" s="8" t="s">
        <v>78</v>
      </c>
      <c r="D11" s="8" t="s">
        <v>79</v>
      </c>
      <c r="E11" s="8" t="s">
        <v>71</v>
      </c>
      <c r="F11" s="8" t="s">
        <v>41</v>
      </c>
      <c r="G11" s="8" t="s">
        <v>18</v>
      </c>
      <c r="H11" s="8" t="s">
        <v>19</v>
      </c>
      <c r="I11" s="8" t="s">
        <v>50</v>
      </c>
      <c r="J11" s="8" t="s">
        <v>21</v>
      </c>
      <c r="K11" s="8" t="s">
        <v>64</v>
      </c>
      <c r="L11" s="8" t="s">
        <v>35</v>
      </c>
      <c r="M11" s="9" t="s">
        <v>52</v>
      </c>
    </row>
    <row r="12" spans="1:13" ht="15.75" customHeight="1" x14ac:dyDescent="0.2">
      <c r="A12" s="4">
        <v>45722.384060231481</v>
      </c>
      <c r="B12" s="5" t="s">
        <v>80</v>
      </c>
      <c r="C12" s="5" t="s">
        <v>81</v>
      </c>
      <c r="D12" s="5" t="s">
        <v>82</v>
      </c>
      <c r="E12" s="5" t="s">
        <v>71</v>
      </c>
      <c r="F12" s="5" t="s">
        <v>41</v>
      </c>
      <c r="G12" s="5" t="s">
        <v>63</v>
      </c>
      <c r="H12" s="5" t="s">
        <v>31</v>
      </c>
      <c r="I12" s="5" t="s">
        <v>50</v>
      </c>
      <c r="J12" s="5" t="s">
        <v>72</v>
      </c>
      <c r="K12" s="5" t="s">
        <v>22</v>
      </c>
      <c r="L12" s="5" t="s">
        <v>23</v>
      </c>
      <c r="M12" s="6" t="s">
        <v>52</v>
      </c>
    </row>
    <row r="13" spans="1:13" ht="15.75" customHeight="1" x14ac:dyDescent="0.2">
      <c r="A13" s="7">
        <v>45722.384114490742</v>
      </c>
      <c r="B13" s="8" t="s">
        <v>83</v>
      </c>
      <c r="C13" s="8" t="s">
        <v>84</v>
      </c>
      <c r="D13" s="8" t="s">
        <v>85</v>
      </c>
      <c r="E13" s="8" t="s">
        <v>86</v>
      </c>
      <c r="F13" s="8" t="s">
        <v>17</v>
      </c>
      <c r="G13" s="8" t="s">
        <v>63</v>
      </c>
      <c r="H13" s="8" t="s">
        <v>19</v>
      </c>
      <c r="I13" s="8" t="s">
        <v>20</v>
      </c>
      <c r="J13" s="8" t="s">
        <v>51</v>
      </c>
      <c r="K13" s="8" t="s">
        <v>22</v>
      </c>
      <c r="L13" s="8" t="s">
        <v>23</v>
      </c>
      <c r="M13" s="9" t="s">
        <v>52</v>
      </c>
    </row>
    <row r="14" spans="1:13" ht="15.75" customHeight="1" x14ac:dyDescent="0.2">
      <c r="A14" s="4">
        <v>45722.384218634259</v>
      </c>
      <c r="B14" s="5" t="s">
        <v>87</v>
      </c>
      <c r="C14" s="5" t="s">
        <v>88</v>
      </c>
      <c r="D14" s="5" t="s">
        <v>89</v>
      </c>
      <c r="E14" s="5" t="s">
        <v>28</v>
      </c>
      <c r="F14" s="5" t="s">
        <v>49</v>
      </c>
      <c r="G14" s="5" t="s">
        <v>90</v>
      </c>
      <c r="H14" s="5" t="s">
        <v>91</v>
      </c>
      <c r="I14" s="5" t="s">
        <v>50</v>
      </c>
      <c r="J14" s="5" t="s">
        <v>21</v>
      </c>
      <c r="K14" s="5" t="s">
        <v>92</v>
      </c>
      <c r="L14" s="5" t="s">
        <v>93</v>
      </c>
      <c r="M14" s="6" t="s">
        <v>94</v>
      </c>
    </row>
    <row r="15" spans="1:13" ht="15.75" customHeight="1" x14ac:dyDescent="0.2">
      <c r="A15" s="7">
        <v>45722.384220092594</v>
      </c>
      <c r="B15" s="8" t="s">
        <v>95</v>
      </c>
      <c r="C15" s="8" t="s">
        <v>96</v>
      </c>
      <c r="D15" s="8" t="s">
        <v>97</v>
      </c>
      <c r="E15" s="8" t="s">
        <v>62</v>
      </c>
      <c r="F15" s="8" t="s">
        <v>41</v>
      </c>
      <c r="G15" s="8" t="s">
        <v>63</v>
      </c>
      <c r="H15" s="8" t="s">
        <v>31</v>
      </c>
      <c r="I15" s="8" t="s">
        <v>20</v>
      </c>
      <c r="J15" s="8" t="s">
        <v>21</v>
      </c>
      <c r="K15" s="8" t="s">
        <v>64</v>
      </c>
      <c r="L15" s="8" t="s">
        <v>23</v>
      </c>
      <c r="M15" s="9" t="s">
        <v>52</v>
      </c>
    </row>
    <row r="16" spans="1:13" ht="15.75" customHeight="1" x14ac:dyDescent="0.2">
      <c r="A16" s="4">
        <v>45722.384330138884</v>
      </c>
      <c r="B16" s="5" t="s">
        <v>98</v>
      </c>
      <c r="C16" s="5" t="s">
        <v>99</v>
      </c>
      <c r="D16" s="5" t="s">
        <v>100</v>
      </c>
      <c r="E16" s="5" t="s">
        <v>71</v>
      </c>
      <c r="F16" s="5" t="s">
        <v>41</v>
      </c>
      <c r="G16" s="5" t="s">
        <v>30</v>
      </c>
      <c r="H16" s="5" t="s">
        <v>101</v>
      </c>
      <c r="I16" s="5" t="s">
        <v>32</v>
      </c>
      <c r="J16" s="5" t="s">
        <v>33</v>
      </c>
      <c r="K16" s="5" t="s">
        <v>34</v>
      </c>
      <c r="L16" s="5" t="s">
        <v>35</v>
      </c>
      <c r="M16" s="6" t="s">
        <v>44</v>
      </c>
    </row>
    <row r="17" spans="1:13" ht="15.75" customHeight="1" x14ac:dyDescent="0.2">
      <c r="A17" s="7">
        <v>45722.384336828705</v>
      </c>
      <c r="B17" s="8" t="s">
        <v>102</v>
      </c>
      <c r="C17" s="8" t="s">
        <v>103</v>
      </c>
      <c r="D17" s="8" t="s">
        <v>104</v>
      </c>
      <c r="E17" s="8" t="s">
        <v>48</v>
      </c>
      <c r="F17" s="8" t="s">
        <v>105</v>
      </c>
      <c r="G17" s="8" t="s">
        <v>30</v>
      </c>
      <c r="H17" s="8" t="s">
        <v>101</v>
      </c>
      <c r="I17" s="8" t="s">
        <v>50</v>
      </c>
      <c r="J17" s="8" t="s">
        <v>72</v>
      </c>
      <c r="K17" s="8" t="s">
        <v>22</v>
      </c>
      <c r="L17" s="8" t="s">
        <v>106</v>
      </c>
      <c r="M17" s="9" t="s">
        <v>44</v>
      </c>
    </row>
    <row r="18" spans="1:13" ht="15.75" customHeight="1" x14ac:dyDescent="0.2">
      <c r="A18" s="4">
        <v>45722.384343761572</v>
      </c>
      <c r="B18" s="5" t="s">
        <v>107</v>
      </c>
      <c r="C18" s="5" t="s">
        <v>108</v>
      </c>
      <c r="D18" s="5" t="s">
        <v>109</v>
      </c>
      <c r="E18" s="5" t="s">
        <v>28</v>
      </c>
      <c r="F18" s="5" t="s">
        <v>29</v>
      </c>
      <c r="G18" s="5" t="s">
        <v>63</v>
      </c>
      <c r="H18" s="5" t="s">
        <v>101</v>
      </c>
      <c r="I18" s="5" t="s">
        <v>20</v>
      </c>
      <c r="J18" s="5" t="s">
        <v>110</v>
      </c>
      <c r="K18" s="5" t="s">
        <v>92</v>
      </c>
      <c r="L18" s="5" t="s">
        <v>23</v>
      </c>
      <c r="M18" s="6" t="s">
        <v>24</v>
      </c>
    </row>
    <row r="19" spans="1:13" ht="15.75" customHeight="1" x14ac:dyDescent="0.2">
      <c r="A19" s="7">
        <v>45722.384348831023</v>
      </c>
      <c r="B19" s="8" t="s">
        <v>111</v>
      </c>
      <c r="C19" s="8" t="s">
        <v>112</v>
      </c>
      <c r="D19" s="8" t="s">
        <v>113</v>
      </c>
      <c r="E19" s="8" t="s">
        <v>62</v>
      </c>
      <c r="F19" s="8" t="s">
        <v>29</v>
      </c>
      <c r="G19" s="8" t="s">
        <v>18</v>
      </c>
      <c r="H19" s="8" t="s">
        <v>31</v>
      </c>
      <c r="I19" s="8" t="s">
        <v>32</v>
      </c>
      <c r="J19" s="8" t="s">
        <v>51</v>
      </c>
      <c r="K19" s="8" t="s">
        <v>34</v>
      </c>
      <c r="L19" s="8" t="s">
        <v>23</v>
      </c>
      <c r="M19" s="9" t="s">
        <v>44</v>
      </c>
    </row>
    <row r="20" spans="1:13" ht="15.75" customHeight="1" x14ac:dyDescent="0.2">
      <c r="A20" s="4">
        <v>45722.384364212965</v>
      </c>
      <c r="B20" s="5" t="s">
        <v>114</v>
      </c>
      <c r="C20" s="5" t="s">
        <v>115</v>
      </c>
      <c r="D20" s="5" t="s">
        <v>116</v>
      </c>
      <c r="E20" s="5" t="s">
        <v>62</v>
      </c>
      <c r="F20" s="5" t="s">
        <v>41</v>
      </c>
      <c r="G20" s="5" t="s">
        <v>56</v>
      </c>
      <c r="H20" s="5" t="s">
        <v>19</v>
      </c>
      <c r="I20" s="5" t="s">
        <v>50</v>
      </c>
      <c r="J20" s="5" t="s">
        <v>72</v>
      </c>
      <c r="K20" s="5" t="s">
        <v>64</v>
      </c>
      <c r="L20" s="5" t="s">
        <v>23</v>
      </c>
      <c r="M20" s="6" t="s">
        <v>44</v>
      </c>
    </row>
    <row r="21" spans="1:13" ht="15.75" customHeight="1" x14ac:dyDescent="0.2">
      <c r="A21" s="7">
        <v>45722.384395902773</v>
      </c>
      <c r="B21" s="8" t="s">
        <v>117</v>
      </c>
      <c r="C21" s="8" t="s">
        <v>118</v>
      </c>
      <c r="D21" s="8" t="s">
        <v>119</v>
      </c>
      <c r="E21" s="8" t="s">
        <v>71</v>
      </c>
      <c r="F21" s="8" t="s">
        <v>41</v>
      </c>
      <c r="G21" s="8" t="s">
        <v>56</v>
      </c>
      <c r="H21" s="8" t="s">
        <v>57</v>
      </c>
      <c r="I21" s="8" t="s">
        <v>50</v>
      </c>
      <c r="J21" s="8" t="s">
        <v>33</v>
      </c>
      <c r="K21" s="8" t="s">
        <v>64</v>
      </c>
      <c r="L21" s="8" t="s">
        <v>23</v>
      </c>
      <c r="M21" s="9" t="s">
        <v>94</v>
      </c>
    </row>
    <row r="22" spans="1:13" ht="15.75" customHeight="1" x14ac:dyDescent="0.2">
      <c r="A22" s="4">
        <v>45722.384397083333</v>
      </c>
      <c r="B22" s="5" t="s">
        <v>120</v>
      </c>
      <c r="C22" s="5" t="s">
        <v>121</v>
      </c>
      <c r="D22" s="5" t="s">
        <v>122</v>
      </c>
      <c r="E22" s="5" t="s">
        <v>71</v>
      </c>
      <c r="F22" s="5" t="s">
        <v>41</v>
      </c>
      <c r="G22" s="5" t="s">
        <v>18</v>
      </c>
      <c r="H22" s="5" t="s">
        <v>19</v>
      </c>
      <c r="I22" s="5" t="s">
        <v>43</v>
      </c>
      <c r="J22" s="5" t="s">
        <v>21</v>
      </c>
      <c r="K22" s="5" t="s">
        <v>64</v>
      </c>
      <c r="L22" s="5" t="s">
        <v>35</v>
      </c>
      <c r="M22" s="6" t="s">
        <v>44</v>
      </c>
    </row>
    <row r="23" spans="1:13" ht="15.75" customHeight="1" x14ac:dyDescent="0.2">
      <c r="A23" s="7">
        <v>45722.384447800927</v>
      </c>
      <c r="B23" s="8" t="s">
        <v>123</v>
      </c>
      <c r="C23" s="8" t="s">
        <v>124</v>
      </c>
      <c r="D23" s="8" t="s">
        <v>125</v>
      </c>
      <c r="E23" s="8" t="s">
        <v>48</v>
      </c>
      <c r="F23" s="8" t="s">
        <v>41</v>
      </c>
      <c r="G23" s="8" t="s">
        <v>63</v>
      </c>
      <c r="H23" s="8" t="s">
        <v>31</v>
      </c>
      <c r="I23" s="8" t="s">
        <v>126</v>
      </c>
      <c r="J23" s="8" t="s">
        <v>72</v>
      </c>
      <c r="K23" s="8" t="s">
        <v>64</v>
      </c>
      <c r="L23" s="8" t="s">
        <v>35</v>
      </c>
      <c r="M23" s="9" t="s">
        <v>44</v>
      </c>
    </row>
    <row r="24" spans="1:13" ht="15.75" customHeight="1" x14ac:dyDescent="0.2">
      <c r="A24" s="4">
        <v>45722.384507997689</v>
      </c>
      <c r="B24" s="5" t="s">
        <v>127</v>
      </c>
      <c r="C24" s="5" t="s">
        <v>128</v>
      </c>
      <c r="D24" s="5" t="s">
        <v>129</v>
      </c>
      <c r="E24" s="5" t="s">
        <v>28</v>
      </c>
      <c r="F24" s="5" t="s">
        <v>29</v>
      </c>
      <c r="G24" s="5" t="s">
        <v>90</v>
      </c>
      <c r="H24" s="5" t="s">
        <v>42</v>
      </c>
      <c r="I24" s="5" t="s">
        <v>50</v>
      </c>
      <c r="J24" s="5" t="s">
        <v>21</v>
      </c>
      <c r="K24" s="5" t="s">
        <v>34</v>
      </c>
      <c r="L24" s="5" t="s">
        <v>23</v>
      </c>
      <c r="M24" s="6" t="s">
        <v>44</v>
      </c>
    </row>
    <row r="25" spans="1:13" ht="15.75" customHeight="1" x14ac:dyDescent="0.2">
      <c r="A25" s="7">
        <v>45722.384512199074</v>
      </c>
      <c r="B25" s="8" t="s">
        <v>130</v>
      </c>
      <c r="C25" s="8" t="s">
        <v>131</v>
      </c>
      <c r="D25" s="8" t="s">
        <v>132</v>
      </c>
      <c r="E25" s="8" t="s">
        <v>71</v>
      </c>
      <c r="F25" s="8" t="s">
        <v>41</v>
      </c>
      <c r="G25" s="8" t="s">
        <v>56</v>
      </c>
      <c r="H25" s="8" t="s">
        <v>57</v>
      </c>
      <c r="I25" s="8" t="s">
        <v>32</v>
      </c>
      <c r="J25" s="8" t="s">
        <v>33</v>
      </c>
      <c r="K25" s="8" t="s">
        <v>64</v>
      </c>
      <c r="L25" s="8" t="s">
        <v>58</v>
      </c>
      <c r="M25" s="9" t="s">
        <v>44</v>
      </c>
    </row>
    <row r="26" spans="1:13" ht="15.75" customHeight="1" x14ac:dyDescent="0.2">
      <c r="A26" s="4">
        <v>45722.384529027782</v>
      </c>
      <c r="B26" s="5" t="s">
        <v>133</v>
      </c>
      <c r="C26" s="5" t="s">
        <v>134</v>
      </c>
      <c r="D26" s="5" t="s">
        <v>135</v>
      </c>
      <c r="E26" s="5" t="s">
        <v>71</v>
      </c>
      <c r="F26" s="5" t="s">
        <v>41</v>
      </c>
      <c r="G26" s="5" t="s">
        <v>63</v>
      </c>
      <c r="H26" s="5" t="s">
        <v>57</v>
      </c>
      <c r="I26" s="5" t="s">
        <v>43</v>
      </c>
      <c r="J26" s="5" t="s">
        <v>72</v>
      </c>
      <c r="K26" s="5" t="s">
        <v>64</v>
      </c>
      <c r="L26" s="5" t="s">
        <v>23</v>
      </c>
      <c r="M26" s="6" t="s">
        <v>52</v>
      </c>
    </row>
    <row r="27" spans="1:13" ht="15.75" customHeight="1" x14ac:dyDescent="0.2">
      <c r="A27" s="7">
        <v>45722.38465501157</v>
      </c>
      <c r="B27" s="8" t="s">
        <v>136</v>
      </c>
      <c r="C27" s="8" t="s">
        <v>137</v>
      </c>
      <c r="D27" s="8" t="s">
        <v>138</v>
      </c>
      <c r="E27" s="8" t="s">
        <v>86</v>
      </c>
      <c r="F27" s="8" t="s">
        <v>17</v>
      </c>
      <c r="G27" s="8" t="s">
        <v>63</v>
      </c>
      <c r="H27" s="8" t="s">
        <v>91</v>
      </c>
      <c r="I27" s="8" t="s">
        <v>32</v>
      </c>
      <c r="J27" s="8" t="s">
        <v>51</v>
      </c>
      <c r="K27" s="8" t="s">
        <v>139</v>
      </c>
      <c r="L27" s="8" t="s">
        <v>35</v>
      </c>
      <c r="M27" s="9" t="s">
        <v>52</v>
      </c>
    </row>
    <row r="28" spans="1:13" ht="15.75" customHeight="1" x14ac:dyDescent="0.2">
      <c r="A28" s="4">
        <v>45722.384698645837</v>
      </c>
      <c r="B28" s="5" t="s">
        <v>140</v>
      </c>
      <c r="C28" s="5" t="s">
        <v>141</v>
      </c>
      <c r="D28" s="5" t="s">
        <v>142</v>
      </c>
      <c r="E28" s="5" t="s">
        <v>40</v>
      </c>
      <c r="F28" s="5" t="s">
        <v>41</v>
      </c>
      <c r="G28" s="5" t="s">
        <v>56</v>
      </c>
      <c r="H28" s="5" t="s">
        <v>57</v>
      </c>
      <c r="I28" s="5" t="s">
        <v>43</v>
      </c>
      <c r="J28" s="5" t="s">
        <v>72</v>
      </c>
      <c r="K28" s="5" t="s">
        <v>64</v>
      </c>
      <c r="L28" s="5" t="s">
        <v>35</v>
      </c>
      <c r="M28" s="6" t="s">
        <v>44</v>
      </c>
    </row>
    <row r="29" spans="1:13" ht="15.75" customHeight="1" x14ac:dyDescent="0.2">
      <c r="A29" s="7">
        <v>45722.38474079861</v>
      </c>
      <c r="B29" s="8" t="s">
        <v>143</v>
      </c>
      <c r="C29" s="8" t="s">
        <v>144</v>
      </c>
      <c r="D29" s="8" t="s">
        <v>145</v>
      </c>
      <c r="E29" s="8" t="s">
        <v>16</v>
      </c>
      <c r="F29" s="8" t="s">
        <v>41</v>
      </c>
      <c r="G29" s="8" t="s">
        <v>63</v>
      </c>
      <c r="H29" s="8" t="s">
        <v>91</v>
      </c>
      <c r="I29" s="8" t="s">
        <v>50</v>
      </c>
      <c r="J29" s="8" t="s">
        <v>146</v>
      </c>
      <c r="K29" s="8" t="s">
        <v>64</v>
      </c>
      <c r="L29" s="8" t="s">
        <v>23</v>
      </c>
      <c r="M29" s="9" t="s">
        <v>94</v>
      </c>
    </row>
    <row r="30" spans="1:13" ht="15.75" customHeight="1" x14ac:dyDescent="0.2">
      <c r="A30" s="4">
        <v>45722.38476494213</v>
      </c>
      <c r="B30" s="5" t="s">
        <v>147</v>
      </c>
      <c r="C30" s="5" t="s">
        <v>148</v>
      </c>
      <c r="D30" s="5" t="s">
        <v>149</v>
      </c>
      <c r="E30" s="5" t="s">
        <v>71</v>
      </c>
      <c r="F30" s="5" t="s">
        <v>41</v>
      </c>
      <c r="G30" s="5" t="s">
        <v>90</v>
      </c>
      <c r="H30" s="5" t="s">
        <v>42</v>
      </c>
      <c r="I30" s="5" t="s">
        <v>20</v>
      </c>
      <c r="J30" s="5" t="s">
        <v>110</v>
      </c>
      <c r="K30" s="5" t="s">
        <v>64</v>
      </c>
      <c r="L30" s="5" t="s">
        <v>150</v>
      </c>
      <c r="M30" s="6" t="s">
        <v>94</v>
      </c>
    </row>
    <row r="31" spans="1:13" ht="15.75" customHeight="1" x14ac:dyDescent="0.2">
      <c r="A31" s="7">
        <v>45722.384779907406</v>
      </c>
      <c r="B31" s="8" t="s">
        <v>151</v>
      </c>
      <c r="C31" s="8" t="s">
        <v>152</v>
      </c>
      <c r="D31" s="8" t="s">
        <v>153</v>
      </c>
      <c r="E31" s="8" t="s">
        <v>40</v>
      </c>
      <c r="F31" s="8" t="s">
        <v>41</v>
      </c>
      <c r="G31" s="8" t="s">
        <v>56</v>
      </c>
      <c r="H31" s="8" t="s">
        <v>31</v>
      </c>
      <c r="I31" s="8" t="s">
        <v>50</v>
      </c>
      <c r="J31" s="8" t="s">
        <v>72</v>
      </c>
      <c r="K31" s="8" t="s">
        <v>34</v>
      </c>
      <c r="L31" s="8" t="s">
        <v>35</v>
      </c>
      <c r="M31" s="9" t="s">
        <v>52</v>
      </c>
    </row>
    <row r="32" spans="1:13" ht="15.75" customHeight="1" x14ac:dyDescent="0.2">
      <c r="A32" s="4">
        <v>45722.384816180551</v>
      </c>
      <c r="B32" s="5" t="s">
        <v>154</v>
      </c>
      <c r="C32" s="5" t="s">
        <v>155</v>
      </c>
      <c r="D32" s="5" t="s">
        <v>156</v>
      </c>
      <c r="E32" s="5" t="s">
        <v>40</v>
      </c>
      <c r="F32" s="5" t="s">
        <v>41</v>
      </c>
      <c r="G32" s="5" t="s">
        <v>30</v>
      </c>
      <c r="H32" s="5" t="s">
        <v>31</v>
      </c>
      <c r="I32" s="5" t="s">
        <v>43</v>
      </c>
      <c r="J32" s="5" t="s">
        <v>33</v>
      </c>
      <c r="K32" s="5" t="s">
        <v>34</v>
      </c>
      <c r="L32" s="5" t="s">
        <v>58</v>
      </c>
      <c r="M32" s="6" t="s">
        <v>44</v>
      </c>
    </row>
    <row r="33" spans="1:13" ht="15.75" customHeight="1" x14ac:dyDescent="0.2">
      <c r="A33" s="7">
        <v>45722.384817465281</v>
      </c>
      <c r="B33" s="8" t="s">
        <v>157</v>
      </c>
      <c r="C33" s="8" t="s">
        <v>158</v>
      </c>
      <c r="D33" s="8" t="s">
        <v>159</v>
      </c>
      <c r="E33" s="8" t="s">
        <v>71</v>
      </c>
      <c r="F33" s="8" t="s">
        <v>29</v>
      </c>
      <c r="G33" s="8" t="s">
        <v>63</v>
      </c>
      <c r="H33" s="8" t="s">
        <v>42</v>
      </c>
      <c r="I33" s="8" t="s">
        <v>32</v>
      </c>
      <c r="J33" s="8" t="s">
        <v>33</v>
      </c>
      <c r="K33" s="8" t="s">
        <v>139</v>
      </c>
      <c r="L33" s="8" t="s">
        <v>23</v>
      </c>
      <c r="M33" s="9" t="s">
        <v>52</v>
      </c>
    </row>
    <row r="34" spans="1:13" ht="15.75" customHeight="1" x14ac:dyDescent="0.2">
      <c r="A34" s="4">
        <v>45722.38484846065</v>
      </c>
      <c r="B34" s="5" t="s">
        <v>160</v>
      </c>
      <c r="C34" s="5" t="s">
        <v>161</v>
      </c>
      <c r="D34" s="5" t="s">
        <v>162</v>
      </c>
      <c r="E34" s="5" t="s">
        <v>71</v>
      </c>
      <c r="F34" s="5" t="s">
        <v>41</v>
      </c>
      <c r="G34" s="5" t="s">
        <v>63</v>
      </c>
      <c r="H34" s="5" t="s">
        <v>31</v>
      </c>
      <c r="I34" s="5" t="s">
        <v>43</v>
      </c>
      <c r="J34" s="5" t="s">
        <v>72</v>
      </c>
      <c r="K34" s="5" t="s">
        <v>34</v>
      </c>
      <c r="L34" s="5" t="s">
        <v>58</v>
      </c>
      <c r="M34" s="6" t="s">
        <v>44</v>
      </c>
    </row>
    <row r="35" spans="1:13" ht="15.75" customHeight="1" x14ac:dyDescent="0.2">
      <c r="A35" s="7">
        <v>45722.384861030092</v>
      </c>
      <c r="B35" s="8" t="s">
        <v>163</v>
      </c>
      <c r="C35" s="8" t="s">
        <v>164</v>
      </c>
      <c r="D35" s="8" t="s">
        <v>165</v>
      </c>
      <c r="E35" s="8" t="s">
        <v>71</v>
      </c>
      <c r="F35" s="8" t="s">
        <v>41</v>
      </c>
      <c r="G35" s="8" t="s">
        <v>56</v>
      </c>
      <c r="H35" s="8" t="s">
        <v>31</v>
      </c>
      <c r="I35" s="8" t="s">
        <v>43</v>
      </c>
      <c r="J35" s="8" t="s">
        <v>72</v>
      </c>
      <c r="K35" s="8" t="s">
        <v>34</v>
      </c>
      <c r="L35" s="8" t="s">
        <v>58</v>
      </c>
      <c r="M35" s="9" t="s">
        <v>44</v>
      </c>
    </row>
    <row r="36" spans="1:13" ht="15.75" customHeight="1" x14ac:dyDescent="0.2">
      <c r="A36" s="4">
        <v>45722.384868078705</v>
      </c>
      <c r="B36" s="5" t="s">
        <v>166</v>
      </c>
      <c r="C36" s="5" t="s">
        <v>167</v>
      </c>
      <c r="D36" s="5" t="s">
        <v>168</v>
      </c>
      <c r="E36" s="5" t="s">
        <v>71</v>
      </c>
      <c r="F36" s="5" t="s">
        <v>41</v>
      </c>
      <c r="G36" s="5" t="s">
        <v>63</v>
      </c>
      <c r="H36" s="5" t="s">
        <v>19</v>
      </c>
      <c r="I36" s="5" t="s">
        <v>43</v>
      </c>
      <c r="J36" s="5" t="s">
        <v>51</v>
      </c>
      <c r="K36" s="5" t="s">
        <v>34</v>
      </c>
      <c r="L36" s="5" t="s">
        <v>23</v>
      </c>
      <c r="M36" s="6" t="s">
        <v>169</v>
      </c>
    </row>
    <row r="37" spans="1:13" ht="15.75" customHeight="1" x14ac:dyDescent="0.2">
      <c r="A37" s="7">
        <v>45722.384902233796</v>
      </c>
      <c r="B37" s="8" t="s">
        <v>170</v>
      </c>
      <c r="C37" s="8" t="s">
        <v>171</v>
      </c>
      <c r="D37" s="8" t="s">
        <v>172</v>
      </c>
      <c r="E37" s="8" t="s">
        <v>62</v>
      </c>
      <c r="F37" s="8" t="s">
        <v>41</v>
      </c>
      <c r="G37" s="8" t="s">
        <v>56</v>
      </c>
      <c r="H37" s="8" t="s">
        <v>101</v>
      </c>
      <c r="I37" s="8" t="s">
        <v>43</v>
      </c>
      <c r="J37" s="8" t="s">
        <v>72</v>
      </c>
      <c r="K37" s="8" t="s">
        <v>64</v>
      </c>
      <c r="L37" s="8" t="s">
        <v>35</v>
      </c>
      <c r="M37" s="9" t="s">
        <v>44</v>
      </c>
    </row>
    <row r="38" spans="1:13" ht="15.75" customHeight="1" x14ac:dyDescent="0.2">
      <c r="A38" s="4">
        <v>45722.384901863421</v>
      </c>
      <c r="B38" s="5" t="s">
        <v>173</v>
      </c>
      <c r="C38" s="5" t="s">
        <v>174</v>
      </c>
      <c r="D38" s="5" t="s">
        <v>175</v>
      </c>
      <c r="E38" s="5" t="s">
        <v>71</v>
      </c>
      <c r="F38" s="5" t="s">
        <v>29</v>
      </c>
      <c r="G38" s="5" t="s">
        <v>56</v>
      </c>
      <c r="H38" s="5" t="s">
        <v>31</v>
      </c>
      <c r="I38" s="5" t="s">
        <v>43</v>
      </c>
      <c r="J38" s="5" t="s">
        <v>33</v>
      </c>
      <c r="K38" s="5" t="s">
        <v>34</v>
      </c>
      <c r="L38" s="5" t="s">
        <v>23</v>
      </c>
      <c r="M38" s="6" t="s">
        <v>44</v>
      </c>
    </row>
    <row r="39" spans="1:13" ht="15.75" customHeight="1" x14ac:dyDescent="0.2">
      <c r="A39" s="7">
        <v>45722.385082303241</v>
      </c>
      <c r="B39" s="8" t="s">
        <v>176</v>
      </c>
      <c r="C39" s="8" t="s">
        <v>177</v>
      </c>
      <c r="D39" s="8" t="s">
        <v>178</v>
      </c>
      <c r="E39" s="8" t="s">
        <v>28</v>
      </c>
      <c r="F39" s="8" t="s">
        <v>41</v>
      </c>
      <c r="G39" s="8" t="s">
        <v>63</v>
      </c>
      <c r="H39" s="8" t="s">
        <v>19</v>
      </c>
      <c r="I39" s="8" t="s">
        <v>179</v>
      </c>
      <c r="J39" s="8" t="s">
        <v>33</v>
      </c>
      <c r="K39" s="8" t="s">
        <v>139</v>
      </c>
      <c r="L39" s="8" t="s">
        <v>180</v>
      </c>
      <c r="M39" s="9" t="s">
        <v>94</v>
      </c>
    </row>
    <row r="40" spans="1:13" ht="15.75" customHeight="1" x14ac:dyDescent="0.2">
      <c r="A40" s="4">
        <v>45722.3851278125</v>
      </c>
      <c r="B40" s="5" t="s">
        <v>181</v>
      </c>
      <c r="C40" s="5" t="s">
        <v>182</v>
      </c>
      <c r="D40" s="5" t="s">
        <v>183</v>
      </c>
      <c r="E40" s="5" t="s">
        <v>71</v>
      </c>
      <c r="F40" s="5" t="s">
        <v>49</v>
      </c>
      <c r="G40" s="5" t="s">
        <v>56</v>
      </c>
      <c r="H40" s="5" t="s">
        <v>31</v>
      </c>
      <c r="I40" s="5" t="s">
        <v>32</v>
      </c>
      <c r="J40" s="5" t="s">
        <v>72</v>
      </c>
      <c r="K40" s="5" t="s">
        <v>34</v>
      </c>
      <c r="L40" s="5" t="s">
        <v>58</v>
      </c>
      <c r="M40" s="6" t="s">
        <v>44</v>
      </c>
    </row>
    <row r="41" spans="1:13" ht="15.75" customHeight="1" x14ac:dyDescent="0.2">
      <c r="A41" s="7">
        <v>45722.38515574074</v>
      </c>
      <c r="B41" s="8" t="s">
        <v>184</v>
      </c>
      <c r="C41" s="8" t="s">
        <v>185</v>
      </c>
      <c r="D41" s="8" t="s">
        <v>186</v>
      </c>
      <c r="E41" s="8" t="s">
        <v>48</v>
      </c>
      <c r="F41" s="8" t="s">
        <v>29</v>
      </c>
      <c r="G41" s="8" t="s">
        <v>63</v>
      </c>
      <c r="H41" s="8" t="s">
        <v>31</v>
      </c>
      <c r="I41" s="8" t="s">
        <v>43</v>
      </c>
      <c r="J41" s="8" t="s">
        <v>33</v>
      </c>
      <c r="K41" s="8" t="s">
        <v>34</v>
      </c>
      <c r="L41" s="8" t="s">
        <v>58</v>
      </c>
      <c r="M41" s="9" t="s">
        <v>36</v>
      </c>
    </row>
    <row r="42" spans="1:13" ht="15.75" customHeight="1" x14ac:dyDescent="0.2">
      <c r="A42" s="4">
        <v>45722.385211076384</v>
      </c>
      <c r="B42" s="5" t="s">
        <v>187</v>
      </c>
      <c r="C42" s="5" t="s">
        <v>188</v>
      </c>
      <c r="D42" s="5" t="s">
        <v>189</v>
      </c>
      <c r="E42" s="5" t="s">
        <v>48</v>
      </c>
      <c r="F42" s="5" t="s">
        <v>41</v>
      </c>
      <c r="G42" s="5" t="s">
        <v>63</v>
      </c>
      <c r="H42" s="5" t="s">
        <v>101</v>
      </c>
      <c r="I42" s="5" t="s">
        <v>50</v>
      </c>
      <c r="J42" s="5" t="s">
        <v>21</v>
      </c>
      <c r="K42" s="5" t="s">
        <v>64</v>
      </c>
      <c r="L42" s="5" t="s">
        <v>23</v>
      </c>
      <c r="M42" s="6" t="s">
        <v>44</v>
      </c>
    </row>
    <row r="43" spans="1:13" ht="15.75" customHeight="1" x14ac:dyDescent="0.2">
      <c r="A43" s="7">
        <v>45722.385241574069</v>
      </c>
      <c r="B43" s="8" t="s">
        <v>190</v>
      </c>
      <c r="C43" s="8" t="s">
        <v>191</v>
      </c>
      <c r="D43" s="8" t="s">
        <v>192</v>
      </c>
      <c r="E43" s="8" t="s">
        <v>62</v>
      </c>
      <c r="F43" s="8" t="s">
        <v>41</v>
      </c>
      <c r="G43" s="8" t="s">
        <v>56</v>
      </c>
      <c r="H43" s="8" t="s">
        <v>31</v>
      </c>
      <c r="I43" s="8" t="s">
        <v>43</v>
      </c>
      <c r="J43" s="8" t="s">
        <v>33</v>
      </c>
      <c r="K43" s="8" t="s">
        <v>34</v>
      </c>
      <c r="L43" s="8" t="s">
        <v>58</v>
      </c>
      <c r="M43" s="9" t="s">
        <v>44</v>
      </c>
    </row>
    <row r="44" spans="1:13" ht="15.75" customHeight="1" x14ac:dyDescent="0.2">
      <c r="A44" s="4">
        <v>45722.385336134263</v>
      </c>
      <c r="B44" s="5" t="s">
        <v>193</v>
      </c>
      <c r="C44" s="5" t="s">
        <v>194</v>
      </c>
      <c r="D44" s="5" t="s">
        <v>195</v>
      </c>
      <c r="E44" s="5" t="s">
        <v>48</v>
      </c>
      <c r="F44" s="5" t="s">
        <v>49</v>
      </c>
      <c r="G44" s="5" t="s">
        <v>63</v>
      </c>
      <c r="H44" s="5" t="s">
        <v>19</v>
      </c>
      <c r="I44" s="5" t="s">
        <v>50</v>
      </c>
      <c r="J44" s="5" t="s">
        <v>51</v>
      </c>
      <c r="K44" s="5" t="s">
        <v>64</v>
      </c>
      <c r="L44" s="5" t="s">
        <v>58</v>
      </c>
      <c r="M44" s="6" t="s">
        <v>52</v>
      </c>
    </row>
    <row r="45" spans="1:13" ht="15.75" customHeight="1" x14ac:dyDescent="0.2">
      <c r="A45" s="7">
        <v>45722.385370300923</v>
      </c>
      <c r="B45" s="8" t="s">
        <v>196</v>
      </c>
      <c r="C45" s="8" t="s">
        <v>197</v>
      </c>
      <c r="D45" s="8" t="s">
        <v>198</v>
      </c>
      <c r="E45" s="8" t="s">
        <v>71</v>
      </c>
      <c r="F45" s="8" t="s">
        <v>41</v>
      </c>
      <c r="G45" s="8" t="s">
        <v>56</v>
      </c>
      <c r="H45" s="8" t="s">
        <v>31</v>
      </c>
      <c r="I45" s="8" t="s">
        <v>32</v>
      </c>
      <c r="J45" s="8" t="s">
        <v>72</v>
      </c>
      <c r="K45" s="8" t="s">
        <v>34</v>
      </c>
      <c r="L45" s="8" t="s">
        <v>23</v>
      </c>
      <c r="M45" s="9" t="s">
        <v>52</v>
      </c>
    </row>
    <row r="46" spans="1:13" ht="15.75" customHeight="1" x14ac:dyDescent="0.2">
      <c r="A46" s="4">
        <v>45722.385378831023</v>
      </c>
      <c r="B46" s="5" t="s">
        <v>199</v>
      </c>
      <c r="C46" s="5" t="s">
        <v>200</v>
      </c>
      <c r="D46" s="5" t="s">
        <v>201</v>
      </c>
      <c r="E46" s="5" t="s">
        <v>62</v>
      </c>
      <c r="F46" s="5" t="s">
        <v>49</v>
      </c>
      <c r="G46" s="5" t="s">
        <v>202</v>
      </c>
      <c r="H46" s="5" t="s">
        <v>101</v>
      </c>
      <c r="I46" s="5" t="s">
        <v>43</v>
      </c>
      <c r="J46" s="5" t="s">
        <v>21</v>
      </c>
      <c r="K46" s="5" t="s">
        <v>64</v>
      </c>
      <c r="L46" s="5" t="s">
        <v>58</v>
      </c>
      <c r="M46" s="6" t="s">
        <v>52</v>
      </c>
    </row>
    <row r="47" spans="1:13" ht="15.75" customHeight="1" x14ac:dyDescent="0.2">
      <c r="A47" s="7">
        <v>45722.385417604164</v>
      </c>
      <c r="B47" s="8" t="s">
        <v>203</v>
      </c>
      <c r="C47" s="8" t="s">
        <v>204</v>
      </c>
      <c r="D47" s="8" t="s">
        <v>205</v>
      </c>
      <c r="E47" s="8" t="s">
        <v>71</v>
      </c>
      <c r="F47" s="8" t="s">
        <v>41</v>
      </c>
      <c r="G47" s="8" t="s">
        <v>63</v>
      </c>
      <c r="H47" s="8" t="s">
        <v>31</v>
      </c>
      <c r="I47" s="8" t="s">
        <v>32</v>
      </c>
      <c r="J47" s="8" t="s">
        <v>72</v>
      </c>
      <c r="K47" s="8" t="s">
        <v>64</v>
      </c>
      <c r="L47" s="8" t="s">
        <v>35</v>
      </c>
      <c r="M47" s="9" t="s">
        <v>52</v>
      </c>
    </row>
    <row r="48" spans="1:13" ht="15.75" customHeight="1" x14ac:dyDescent="0.2">
      <c r="A48" s="4">
        <v>45722.385419988423</v>
      </c>
      <c r="B48" s="5" t="s">
        <v>206</v>
      </c>
      <c r="C48" s="5" t="s">
        <v>207</v>
      </c>
      <c r="D48" s="5" t="s">
        <v>208</v>
      </c>
      <c r="E48" s="5" t="s">
        <v>71</v>
      </c>
      <c r="F48" s="5" t="s">
        <v>41</v>
      </c>
      <c r="G48" s="5" t="s">
        <v>63</v>
      </c>
      <c r="H48" s="5" t="s">
        <v>101</v>
      </c>
      <c r="I48" s="5" t="s">
        <v>20</v>
      </c>
      <c r="J48" s="5" t="s">
        <v>72</v>
      </c>
      <c r="K48" s="5" t="s">
        <v>64</v>
      </c>
      <c r="L48" s="5" t="s">
        <v>23</v>
      </c>
      <c r="M48" s="6" t="s">
        <v>52</v>
      </c>
    </row>
    <row r="49" spans="1:13" ht="15.75" customHeight="1" x14ac:dyDescent="0.2">
      <c r="A49" s="7">
        <v>45722.385437604171</v>
      </c>
      <c r="B49" s="8" t="s">
        <v>209</v>
      </c>
      <c r="C49" s="8" t="s">
        <v>210</v>
      </c>
      <c r="D49" s="8" t="s">
        <v>211</v>
      </c>
      <c r="E49" s="8" t="s">
        <v>71</v>
      </c>
      <c r="F49" s="8" t="s">
        <v>41</v>
      </c>
      <c r="G49" s="8" t="s">
        <v>56</v>
      </c>
      <c r="H49" s="8" t="s">
        <v>57</v>
      </c>
      <c r="I49" s="8" t="s">
        <v>32</v>
      </c>
      <c r="J49" s="8" t="s">
        <v>72</v>
      </c>
      <c r="K49" s="8" t="s">
        <v>64</v>
      </c>
      <c r="L49" s="8" t="s">
        <v>23</v>
      </c>
      <c r="M49" s="9" t="s">
        <v>52</v>
      </c>
    </row>
    <row r="50" spans="1:13" ht="15.75" customHeight="1" x14ac:dyDescent="0.2">
      <c r="A50" s="4">
        <v>45722.385431319446</v>
      </c>
      <c r="B50" s="5" t="s">
        <v>212</v>
      </c>
      <c r="C50" s="5" t="s">
        <v>213</v>
      </c>
      <c r="D50" s="5" t="s">
        <v>214</v>
      </c>
      <c r="E50" s="5" t="s">
        <v>28</v>
      </c>
      <c r="F50" s="5" t="s">
        <v>49</v>
      </c>
      <c r="G50" s="5" t="s">
        <v>63</v>
      </c>
      <c r="H50" s="5" t="s">
        <v>101</v>
      </c>
      <c r="I50" s="5" t="s">
        <v>43</v>
      </c>
      <c r="J50" s="5" t="s">
        <v>51</v>
      </c>
      <c r="K50" s="5" t="s">
        <v>64</v>
      </c>
      <c r="L50" s="5" t="s">
        <v>23</v>
      </c>
      <c r="M50" s="6" t="s">
        <v>44</v>
      </c>
    </row>
    <row r="51" spans="1:13" ht="15.75" customHeight="1" x14ac:dyDescent="0.2">
      <c r="A51" s="7">
        <v>45722.385505266204</v>
      </c>
      <c r="B51" s="8" t="s">
        <v>215</v>
      </c>
      <c r="C51" s="8" t="s">
        <v>216</v>
      </c>
      <c r="D51" s="8" t="s">
        <v>217</v>
      </c>
      <c r="E51" s="8" t="s">
        <v>48</v>
      </c>
      <c r="F51" s="8" t="s">
        <v>41</v>
      </c>
      <c r="G51" s="8" t="s">
        <v>18</v>
      </c>
      <c r="H51" s="8" t="s">
        <v>19</v>
      </c>
      <c r="I51" s="8" t="s">
        <v>50</v>
      </c>
      <c r="J51" s="8" t="s">
        <v>21</v>
      </c>
      <c r="K51" s="8" t="s">
        <v>64</v>
      </c>
      <c r="L51" s="8" t="s">
        <v>23</v>
      </c>
      <c r="M51" s="9" t="s">
        <v>52</v>
      </c>
    </row>
    <row r="52" spans="1:13" ht="12.75" x14ac:dyDescent="0.2">
      <c r="A52" s="4">
        <v>45722.385529305553</v>
      </c>
      <c r="B52" s="5" t="s">
        <v>218</v>
      </c>
      <c r="C52" s="5" t="s">
        <v>219</v>
      </c>
      <c r="D52" s="5" t="s">
        <v>220</v>
      </c>
      <c r="E52" s="5" t="s">
        <v>62</v>
      </c>
      <c r="F52" s="5" t="s">
        <v>41</v>
      </c>
      <c r="G52" s="5" t="s">
        <v>63</v>
      </c>
      <c r="H52" s="5" t="s">
        <v>19</v>
      </c>
      <c r="I52" s="5" t="s">
        <v>126</v>
      </c>
      <c r="J52" s="5" t="s">
        <v>21</v>
      </c>
      <c r="K52" s="5" t="s">
        <v>34</v>
      </c>
      <c r="L52" s="5" t="s">
        <v>23</v>
      </c>
      <c r="M52" s="6" t="s">
        <v>52</v>
      </c>
    </row>
    <row r="53" spans="1:13" ht="12.75" x14ac:dyDescent="0.2">
      <c r="A53" s="7">
        <v>45722.38557831019</v>
      </c>
      <c r="B53" s="8" t="s">
        <v>221</v>
      </c>
      <c r="C53" s="8" t="s">
        <v>222</v>
      </c>
      <c r="D53" s="8" t="s">
        <v>223</v>
      </c>
      <c r="E53" s="8" t="s">
        <v>71</v>
      </c>
      <c r="F53" s="8" t="s">
        <v>41</v>
      </c>
      <c r="G53" s="8" t="s">
        <v>63</v>
      </c>
      <c r="H53" s="8" t="s">
        <v>101</v>
      </c>
      <c r="I53" s="8" t="s">
        <v>50</v>
      </c>
      <c r="J53" s="8" t="s">
        <v>72</v>
      </c>
      <c r="K53" s="8" t="s">
        <v>34</v>
      </c>
      <c r="L53" s="8" t="s">
        <v>58</v>
      </c>
      <c r="M53" s="9" t="s">
        <v>44</v>
      </c>
    </row>
    <row r="54" spans="1:13" ht="12.75" x14ac:dyDescent="0.2">
      <c r="A54" s="4">
        <v>45722.385585497686</v>
      </c>
      <c r="B54" s="5" t="s">
        <v>224</v>
      </c>
      <c r="C54" s="5" t="s">
        <v>225</v>
      </c>
      <c r="D54" s="5" t="s">
        <v>226</v>
      </c>
      <c r="E54" s="5" t="s">
        <v>48</v>
      </c>
      <c r="F54" s="5" t="s">
        <v>41</v>
      </c>
      <c r="G54" s="5" t="s">
        <v>56</v>
      </c>
      <c r="H54" s="5" t="s">
        <v>57</v>
      </c>
      <c r="I54" s="5" t="s">
        <v>32</v>
      </c>
      <c r="J54" s="5" t="s">
        <v>72</v>
      </c>
      <c r="K54" s="5" t="s">
        <v>34</v>
      </c>
      <c r="L54" s="5" t="s">
        <v>58</v>
      </c>
      <c r="M54" s="6" t="s">
        <v>44</v>
      </c>
    </row>
    <row r="55" spans="1:13" ht="12.75" x14ac:dyDescent="0.2">
      <c r="A55" s="7">
        <v>45722.385598576388</v>
      </c>
      <c r="B55" s="8" t="s">
        <v>227</v>
      </c>
      <c r="C55" s="8" t="s">
        <v>228</v>
      </c>
      <c r="D55" s="8" t="s">
        <v>229</v>
      </c>
      <c r="E55" s="8" t="s">
        <v>62</v>
      </c>
      <c r="F55" s="8" t="s">
        <v>17</v>
      </c>
      <c r="G55" s="8" t="s">
        <v>63</v>
      </c>
      <c r="H55" s="8" t="s">
        <v>19</v>
      </c>
      <c r="I55" s="8" t="s">
        <v>43</v>
      </c>
      <c r="J55" s="8" t="s">
        <v>21</v>
      </c>
      <c r="K55" s="8" t="s">
        <v>64</v>
      </c>
      <c r="L55" s="8" t="s">
        <v>35</v>
      </c>
      <c r="M55" s="9" t="s">
        <v>52</v>
      </c>
    </row>
    <row r="56" spans="1:13" ht="12.75" x14ac:dyDescent="0.2">
      <c r="A56" s="4">
        <v>45722.385655995371</v>
      </c>
      <c r="B56" s="5" t="s">
        <v>230</v>
      </c>
      <c r="C56" s="5" t="s">
        <v>231</v>
      </c>
      <c r="D56" s="5" t="s">
        <v>232</v>
      </c>
      <c r="E56" s="5" t="s">
        <v>71</v>
      </c>
      <c r="F56" s="5" t="s">
        <v>49</v>
      </c>
      <c r="G56" s="5" t="s">
        <v>63</v>
      </c>
      <c r="H56" s="5" t="s">
        <v>31</v>
      </c>
      <c r="I56" s="5" t="s">
        <v>43</v>
      </c>
      <c r="J56" s="5" t="s">
        <v>33</v>
      </c>
      <c r="K56" s="5" t="s">
        <v>64</v>
      </c>
      <c r="L56" s="5" t="s">
        <v>23</v>
      </c>
      <c r="M56" s="6" t="s">
        <v>52</v>
      </c>
    </row>
    <row r="57" spans="1:13" ht="12.75" x14ac:dyDescent="0.2">
      <c r="A57" s="7">
        <v>45722.385684641209</v>
      </c>
      <c r="B57" s="8" t="s">
        <v>233</v>
      </c>
      <c r="C57" s="8" t="s">
        <v>234</v>
      </c>
      <c r="D57" s="8" t="s">
        <v>235</v>
      </c>
      <c r="E57" s="8" t="s">
        <v>71</v>
      </c>
      <c r="F57" s="8" t="s">
        <v>29</v>
      </c>
      <c r="G57" s="8" t="s">
        <v>63</v>
      </c>
      <c r="H57" s="8" t="s">
        <v>101</v>
      </c>
      <c r="I57" s="8" t="s">
        <v>50</v>
      </c>
      <c r="J57" s="8" t="s">
        <v>21</v>
      </c>
      <c r="K57" s="8" t="s">
        <v>64</v>
      </c>
      <c r="L57" s="8" t="s">
        <v>23</v>
      </c>
      <c r="M57" s="9" t="s">
        <v>169</v>
      </c>
    </row>
    <row r="58" spans="1:13" ht="12.75" x14ac:dyDescent="0.2">
      <c r="A58" s="4">
        <v>45722.38568861111</v>
      </c>
      <c r="B58" s="5" t="s">
        <v>236</v>
      </c>
      <c r="C58" s="5" t="s">
        <v>237</v>
      </c>
      <c r="D58" s="5" t="s">
        <v>238</v>
      </c>
      <c r="E58" s="5" t="s">
        <v>62</v>
      </c>
      <c r="F58" s="5" t="s">
        <v>29</v>
      </c>
      <c r="G58" s="5" t="s">
        <v>202</v>
      </c>
      <c r="H58" s="5" t="s">
        <v>42</v>
      </c>
      <c r="I58" s="5" t="s">
        <v>20</v>
      </c>
      <c r="J58" s="5" t="s">
        <v>146</v>
      </c>
      <c r="K58" s="5" t="s">
        <v>76</v>
      </c>
      <c r="L58" s="5" t="s">
        <v>23</v>
      </c>
      <c r="M58" s="6" t="s">
        <v>169</v>
      </c>
    </row>
    <row r="59" spans="1:13" ht="12.75" x14ac:dyDescent="0.2">
      <c r="A59" s="7">
        <v>45722.385689270828</v>
      </c>
      <c r="B59" s="8" t="s">
        <v>239</v>
      </c>
      <c r="C59" s="8" t="s">
        <v>240</v>
      </c>
      <c r="D59" s="8" t="s">
        <v>241</v>
      </c>
      <c r="E59" s="8" t="s">
        <v>71</v>
      </c>
      <c r="F59" s="8" t="s">
        <v>29</v>
      </c>
      <c r="G59" s="8" t="s">
        <v>63</v>
      </c>
      <c r="H59" s="8" t="s">
        <v>101</v>
      </c>
      <c r="I59" s="8" t="s">
        <v>43</v>
      </c>
      <c r="J59" s="8" t="s">
        <v>72</v>
      </c>
      <c r="K59" s="8" t="s">
        <v>34</v>
      </c>
      <c r="L59" s="8" t="s">
        <v>23</v>
      </c>
      <c r="M59" s="9" t="s">
        <v>44</v>
      </c>
    </row>
    <row r="60" spans="1:13" ht="12.75" x14ac:dyDescent="0.2">
      <c r="A60" s="4">
        <v>45722.385750879628</v>
      </c>
      <c r="B60" s="5" t="s">
        <v>242</v>
      </c>
      <c r="C60" s="5" t="s">
        <v>243</v>
      </c>
      <c r="D60" s="5" t="s">
        <v>244</v>
      </c>
      <c r="E60" s="5" t="s">
        <v>28</v>
      </c>
      <c r="F60" s="5" t="s">
        <v>105</v>
      </c>
      <c r="G60" s="5" t="s">
        <v>30</v>
      </c>
      <c r="H60" s="5" t="s">
        <v>31</v>
      </c>
      <c r="I60" s="5" t="s">
        <v>50</v>
      </c>
      <c r="J60" s="5" t="s">
        <v>33</v>
      </c>
      <c r="K60" s="5" t="s">
        <v>139</v>
      </c>
      <c r="L60" s="5" t="s">
        <v>58</v>
      </c>
      <c r="M60" s="6" t="s">
        <v>36</v>
      </c>
    </row>
    <row r="61" spans="1:13" ht="12.75" x14ac:dyDescent="0.2">
      <c r="A61" s="7">
        <v>45722.385766874999</v>
      </c>
      <c r="B61" s="8" t="s">
        <v>245</v>
      </c>
      <c r="C61" s="8" t="s">
        <v>246</v>
      </c>
      <c r="D61" s="8" t="s">
        <v>247</v>
      </c>
      <c r="E61" s="8" t="s">
        <v>40</v>
      </c>
      <c r="F61" s="8" t="s">
        <v>41</v>
      </c>
      <c r="G61" s="8" t="s">
        <v>63</v>
      </c>
      <c r="H61" s="8" t="s">
        <v>57</v>
      </c>
      <c r="I61" s="8" t="s">
        <v>43</v>
      </c>
      <c r="J61" s="8" t="s">
        <v>33</v>
      </c>
      <c r="K61" s="8" t="s">
        <v>34</v>
      </c>
      <c r="L61" s="8" t="s">
        <v>23</v>
      </c>
      <c r="M61" s="9" t="s">
        <v>52</v>
      </c>
    </row>
    <row r="62" spans="1:13" ht="12.75" x14ac:dyDescent="0.2">
      <c r="A62" s="4">
        <v>45722.385769965273</v>
      </c>
      <c r="B62" s="5" t="s">
        <v>248</v>
      </c>
      <c r="C62" s="5" t="s">
        <v>249</v>
      </c>
      <c r="D62" s="5" t="s">
        <v>250</v>
      </c>
      <c r="E62" s="5" t="s">
        <v>48</v>
      </c>
      <c r="F62" s="5" t="s">
        <v>41</v>
      </c>
      <c r="G62" s="5" t="s">
        <v>63</v>
      </c>
      <c r="H62" s="5" t="s">
        <v>101</v>
      </c>
      <c r="I62" s="5" t="s">
        <v>251</v>
      </c>
      <c r="J62" s="5" t="s">
        <v>146</v>
      </c>
      <c r="K62" s="5" t="s">
        <v>92</v>
      </c>
      <c r="L62" s="5" t="s">
        <v>150</v>
      </c>
      <c r="M62" s="6" t="s">
        <v>94</v>
      </c>
    </row>
    <row r="63" spans="1:13" ht="12.75" x14ac:dyDescent="0.2">
      <c r="A63" s="7">
        <v>45722.385774803246</v>
      </c>
      <c r="B63" s="8" t="s">
        <v>252</v>
      </c>
      <c r="C63" s="8" t="s">
        <v>253</v>
      </c>
      <c r="D63" s="8" t="s">
        <v>254</v>
      </c>
      <c r="E63" s="8" t="s">
        <v>71</v>
      </c>
      <c r="F63" s="8" t="s">
        <v>41</v>
      </c>
      <c r="G63" s="8" t="s">
        <v>63</v>
      </c>
      <c r="H63" s="8" t="s">
        <v>57</v>
      </c>
      <c r="I63" s="8" t="s">
        <v>50</v>
      </c>
      <c r="J63" s="8" t="s">
        <v>21</v>
      </c>
      <c r="K63" s="8" t="s">
        <v>64</v>
      </c>
      <c r="L63" s="8" t="s">
        <v>23</v>
      </c>
      <c r="M63" s="9" t="s">
        <v>44</v>
      </c>
    </row>
    <row r="64" spans="1:13" ht="12.75" x14ac:dyDescent="0.2">
      <c r="A64" s="4">
        <v>45722.385781655088</v>
      </c>
      <c r="B64" s="5" t="s">
        <v>255</v>
      </c>
      <c r="C64" s="5" t="s">
        <v>256</v>
      </c>
      <c r="D64" s="5" t="s">
        <v>257</v>
      </c>
      <c r="E64" s="5" t="s">
        <v>28</v>
      </c>
      <c r="F64" s="5" t="s">
        <v>49</v>
      </c>
      <c r="G64" s="5" t="s">
        <v>258</v>
      </c>
      <c r="H64" s="5" t="s">
        <v>259</v>
      </c>
      <c r="I64" s="5" t="s">
        <v>50</v>
      </c>
      <c r="J64" s="5" t="s">
        <v>21</v>
      </c>
      <c r="K64" s="5" t="s">
        <v>139</v>
      </c>
      <c r="L64" s="5" t="s">
        <v>23</v>
      </c>
      <c r="M64" s="6" t="s">
        <v>260</v>
      </c>
    </row>
    <row r="65" spans="1:13" ht="12.75" x14ac:dyDescent="0.2">
      <c r="A65" s="7">
        <v>45722.385808981482</v>
      </c>
      <c r="B65" s="8" t="s">
        <v>261</v>
      </c>
      <c r="C65" s="8" t="s">
        <v>262</v>
      </c>
      <c r="D65" s="8" t="s">
        <v>263</v>
      </c>
      <c r="E65" s="8" t="s">
        <v>62</v>
      </c>
      <c r="F65" s="8" t="s">
        <v>41</v>
      </c>
      <c r="G65" s="8" t="s">
        <v>63</v>
      </c>
      <c r="H65" s="8" t="s">
        <v>101</v>
      </c>
      <c r="I65" s="8" t="s">
        <v>50</v>
      </c>
      <c r="J65" s="8" t="s">
        <v>72</v>
      </c>
      <c r="K65" s="8" t="s">
        <v>22</v>
      </c>
      <c r="L65" s="8" t="s">
        <v>23</v>
      </c>
      <c r="M65" s="9" t="s">
        <v>52</v>
      </c>
    </row>
    <row r="66" spans="1:13" ht="12.75" x14ac:dyDescent="0.2">
      <c r="A66" s="4">
        <v>45722.38586869213</v>
      </c>
      <c r="B66" s="5" t="s">
        <v>264</v>
      </c>
      <c r="C66" s="5" t="s">
        <v>265</v>
      </c>
      <c r="D66" s="5" t="s">
        <v>266</v>
      </c>
      <c r="E66" s="5" t="s">
        <v>86</v>
      </c>
      <c r="F66" s="5" t="s">
        <v>267</v>
      </c>
      <c r="G66" s="5" t="s">
        <v>63</v>
      </c>
      <c r="H66" s="5" t="s">
        <v>19</v>
      </c>
      <c r="I66" s="5" t="s">
        <v>43</v>
      </c>
      <c r="J66" s="5" t="s">
        <v>72</v>
      </c>
      <c r="K66" s="5" t="s">
        <v>76</v>
      </c>
      <c r="L66" s="5" t="s">
        <v>58</v>
      </c>
      <c r="M66" s="6" t="s">
        <v>94</v>
      </c>
    </row>
    <row r="67" spans="1:13" ht="12.75" x14ac:dyDescent="0.2">
      <c r="A67" s="7">
        <v>45722.385937453699</v>
      </c>
      <c r="B67" s="8" t="s">
        <v>268</v>
      </c>
      <c r="C67" s="8" t="s">
        <v>269</v>
      </c>
      <c r="D67" s="8" t="s">
        <v>270</v>
      </c>
      <c r="E67" s="8" t="s">
        <v>48</v>
      </c>
      <c r="F67" s="8" t="s">
        <v>267</v>
      </c>
      <c r="G67" s="8" t="s">
        <v>56</v>
      </c>
      <c r="H67" s="8" t="s">
        <v>57</v>
      </c>
      <c r="I67" s="8" t="s">
        <v>50</v>
      </c>
      <c r="J67" s="8" t="s">
        <v>72</v>
      </c>
      <c r="K67" s="8" t="s">
        <v>34</v>
      </c>
      <c r="L67" s="8" t="s">
        <v>58</v>
      </c>
      <c r="M67" s="9" t="s">
        <v>44</v>
      </c>
    </row>
    <row r="68" spans="1:13" ht="12.75" x14ac:dyDescent="0.2">
      <c r="A68" s="4">
        <v>45722.386036932869</v>
      </c>
      <c r="B68" s="5" t="s">
        <v>271</v>
      </c>
      <c r="C68" s="5" t="s">
        <v>272</v>
      </c>
      <c r="D68" s="5" t="s">
        <v>273</v>
      </c>
      <c r="E68" s="5" t="s">
        <v>28</v>
      </c>
      <c r="F68" s="5" t="s">
        <v>17</v>
      </c>
      <c r="G68" s="5" t="s">
        <v>202</v>
      </c>
      <c r="H68" s="5" t="s">
        <v>31</v>
      </c>
      <c r="I68" s="5" t="s">
        <v>179</v>
      </c>
      <c r="J68" s="5" t="s">
        <v>110</v>
      </c>
      <c r="K68" s="5" t="s">
        <v>76</v>
      </c>
      <c r="L68" s="5" t="s">
        <v>180</v>
      </c>
      <c r="M68" s="6" t="s">
        <v>94</v>
      </c>
    </row>
    <row r="69" spans="1:13" ht="12.75" x14ac:dyDescent="0.2">
      <c r="A69" s="7">
        <v>45722.386096215283</v>
      </c>
      <c r="B69" s="8" t="s">
        <v>274</v>
      </c>
      <c r="C69" s="8" t="s">
        <v>275</v>
      </c>
      <c r="D69" s="8" t="s">
        <v>276</v>
      </c>
      <c r="E69" s="8" t="s">
        <v>71</v>
      </c>
      <c r="F69" s="8" t="s">
        <v>49</v>
      </c>
      <c r="G69" s="8" t="s">
        <v>56</v>
      </c>
      <c r="H69" s="8" t="s">
        <v>101</v>
      </c>
      <c r="I69" s="8" t="s">
        <v>20</v>
      </c>
      <c r="J69" s="8" t="s">
        <v>110</v>
      </c>
      <c r="K69" s="8" t="s">
        <v>34</v>
      </c>
      <c r="L69" s="8" t="s">
        <v>58</v>
      </c>
      <c r="M69" s="9" t="s">
        <v>169</v>
      </c>
    </row>
    <row r="70" spans="1:13" ht="12.75" x14ac:dyDescent="0.2">
      <c r="A70" s="4">
        <v>45722.386386516198</v>
      </c>
      <c r="B70" s="5" t="s">
        <v>277</v>
      </c>
      <c r="C70" s="5" t="s">
        <v>278</v>
      </c>
      <c r="D70" s="5" t="s">
        <v>279</v>
      </c>
      <c r="E70" s="5" t="s">
        <v>62</v>
      </c>
      <c r="F70" s="5" t="s">
        <v>41</v>
      </c>
      <c r="G70" s="5" t="s">
        <v>56</v>
      </c>
      <c r="H70" s="5" t="s">
        <v>259</v>
      </c>
      <c r="I70" s="5" t="s">
        <v>32</v>
      </c>
      <c r="J70" s="5" t="s">
        <v>21</v>
      </c>
      <c r="K70" s="5" t="s">
        <v>92</v>
      </c>
      <c r="L70" s="5" t="s">
        <v>93</v>
      </c>
      <c r="M70" s="6" t="s">
        <v>260</v>
      </c>
    </row>
    <row r="71" spans="1:13" ht="12.75" x14ac:dyDescent="0.2">
      <c r="A71" s="7">
        <v>45722.386605347223</v>
      </c>
      <c r="B71" s="8" t="s">
        <v>280</v>
      </c>
      <c r="C71" s="8" t="s">
        <v>281</v>
      </c>
      <c r="D71" s="8" t="s">
        <v>282</v>
      </c>
      <c r="E71" s="8" t="s">
        <v>71</v>
      </c>
      <c r="F71" s="8" t="s">
        <v>41</v>
      </c>
      <c r="G71" s="8" t="s">
        <v>63</v>
      </c>
      <c r="H71" s="8" t="s">
        <v>31</v>
      </c>
      <c r="I71" s="8" t="s">
        <v>43</v>
      </c>
      <c r="J71" s="8" t="s">
        <v>21</v>
      </c>
      <c r="K71" s="8" t="s">
        <v>64</v>
      </c>
      <c r="L71" s="8" t="s">
        <v>23</v>
      </c>
      <c r="M71" s="9" t="s">
        <v>52</v>
      </c>
    </row>
    <row r="72" spans="1:13" ht="12.75" x14ac:dyDescent="0.2">
      <c r="A72" s="4">
        <v>45722.386651493056</v>
      </c>
      <c r="B72" s="5" t="s">
        <v>283</v>
      </c>
      <c r="C72" s="5" t="s">
        <v>284</v>
      </c>
      <c r="D72" s="5" t="s">
        <v>285</v>
      </c>
      <c r="E72" s="5" t="s">
        <v>16</v>
      </c>
      <c r="F72" s="5" t="s">
        <v>41</v>
      </c>
      <c r="G72" s="5" t="s">
        <v>56</v>
      </c>
      <c r="H72" s="5" t="s">
        <v>31</v>
      </c>
      <c r="I72" s="5" t="s">
        <v>32</v>
      </c>
      <c r="J72" s="5" t="s">
        <v>33</v>
      </c>
      <c r="K72" s="5" t="s">
        <v>64</v>
      </c>
      <c r="L72" s="5" t="s">
        <v>35</v>
      </c>
      <c r="M72" s="6" t="s">
        <v>44</v>
      </c>
    </row>
    <row r="73" spans="1:13" ht="12.75" x14ac:dyDescent="0.2">
      <c r="A73" s="7">
        <v>45722.386839074075</v>
      </c>
      <c r="B73" s="8" t="s">
        <v>286</v>
      </c>
      <c r="C73" s="8" t="s">
        <v>287</v>
      </c>
      <c r="D73" s="8" t="s">
        <v>288</v>
      </c>
      <c r="E73" s="8" t="s">
        <v>40</v>
      </c>
      <c r="F73" s="8" t="s">
        <v>29</v>
      </c>
      <c r="G73" s="8" t="s">
        <v>30</v>
      </c>
      <c r="H73" s="8" t="s">
        <v>57</v>
      </c>
      <c r="I73" s="8" t="s">
        <v>32</v>
      </c>
      <c r="J73" s="8" t="s">
        <v>33</v>
      </c>
      <c r="K73" s="8" t="s">
        <v>139</v>
      </c>
      <c r="L73" s="8" t="s">
        <v>58</v>
      </c>
      <c r="M73" s="9" t="s">
        <v>36</v>
      </c>
    </row>
    <row r="74" spans="1:13" ht="12.75" x14ac:dyDescent="0.2">
      <c r="A74" s="4">
        <v>45722.386840937499</v>
      </c>
      <c r="B74" s="5" t="s">
        <v>289</v>
      </c>
      <c r="C74" s="5" t="s">
        <v>290</v>
      </c>
      <c r="D74" s="5" t="s">
        <v>291</v>
      </c>
      <c r="E74" s="5" t="s">
        <v>40</v>
      </c>
      <c r="F74" s="5" t="s">
        <v>41</v>
      </c>
      <c r="G74" s="5" t="s">
        <v>56</v>
      </c>
      <c r="H74" s="5" t="s">
        <v>57</v>
      </c>
      <c r="I74" s="5" t="s">
        <v>32</v>
      </c>
      <c r="J74" s="5" t="s">
        <v>33</v>
      </c>
      <c r="K74" s="5" t="s">
        <v>34</v>
      </c>
      <c r="L74" s="5" t="s">
        <v>58</v>
      </c>
      <c r="M74" s="6" t="s">
        <v>36</v>
      </c>
    </row>
    <row r="75" spans="1:13" ht="12.75" x14ac:dyDescent="0.2">
      <c r="A75" s="7">
        <v>45722.386887546294</v>
      </c>
      <c r="B75" s="8" t="s">
        <v>292</v>
      </c>
      <c r="C75" s="8" t="s">
        <v>293</v>
      </c>
      <c r="D75" s="8" t="s">
        <v>294</v>
      </c>
      <c r="E75" s="8" t="s">
        <v>48</v>
      </c>
      <c r="F75" s="8" t="s">
        <v>41</v>
      </c>
      <c r="G75" s="8" t="s">
        <v>63</v>
      </c>
      <c r="H75" s="8" t="s">
        <v>19</v>
      </c>
      <c r="I75" s="8" t="s">
        <v>126</v>
      </c>
      <c r="J75" s="8" t="s">
        <v>51</v>
      </c>
      <c r="K75" s="8" t="s">
        <v>22</v>
      </c>
      <c r="L75" s="8" t="s">
        <v>106</v>
      </c>
      <c r="M75" s="9" t="s">
        <v>52</v>
      </c>
    </row>
    <row r="76" spans="1:13" ht="12.75" x14ac:dyDescent="0.2">
      <c r="A76" s="4">
        <v>45722.386900300931</v>
      </c>
      <c r="B76" s="5" t="s">
        <v>295</v>
      </c>
      <c r="C76" s="5" t="s">
        <v>296</v>
      </c>
      <c r="D76" s="5" t="s">
        <v>297</v>
      </c>
      <c r="E76" s="5" t="s">
        <v>71</v>
      </c>
      <c r="F76" s="5" t="s">
        <v>41</v>
      </c>
      <c r="G76" s="5" t="s">
        <v>18</v>
      </c>
      <c r="H76" s="5" t="s">
        <v>19</v>
      </c>
      <c r="I76" s="5" t="s">
        <v>32</v>
      </c>
      <c r="J76" s="5" t="s">
        <v>72</v>
      </c>
      <c r="K76" s="5" t="s">
        <v>34</v>
      </c>
      <c r="L76" s="5" t="s">
        <v>58</v>
      </c>
      <c r="M76" s="6" t="s">
        <v>52</v>
      </c>
    </row>
    <row r="77" spans="1:13" ht="12.75" x14ac:dyDescent="0.2">
      <c r="A77" s="7">
        <v>45722.386960208329</v>
      </c>
      <c r="B77" s="8" t="s">
        <v>298</v>
      </c>
      <c r="C77" s="8" t="s">
        <v>299</v>
      </c>
      <c r="D77" s="8" t="s">
        <v>300</v>
      </c>
      <c r="E77" s="8" t="s">
        <v>16</v>
      </c>
      <c r="F77" s="8" t="s">
        <v>41</v>
      </c>
      <c r="G77" s="8" t="s">
        <v>18</v>
      </c>
      <c r="H77" s="8" t="s">
        <v>101</v>
      </c>
      <c r="I77" s="8" t="s">
        <v>43</v>
      </c>
      <c r="J77" s="8" t="s">
        <v>72</v>
      </c>
      <c r="K77" s="8" t="s">
        <v>22</v>
      </c>
      <c r="L77" s="8" t="s">
        <v>106</v>
      </c>
      <c r="M77" s="9" t="s">
        <v>52</v>
      </c>
    </row>
    <row r="78" spans="1:13" ht="12.75" x14ac:dyDescent="0.2">
      <c r="A78" s="4">
        <v>45722.386961435186</v>
      </c>
      <c r="B78" s="5" t="s">
        <v>301</v>
      </c>
      <c r="C78" s="5" t="s">
        <v>302</v>
      </c>
      <c r="D78" s="5" t="s">
        <v>303</v>
      </c>
      <c r="E78" s="5" t="s">
        <v>71</v>
      </c>
      <c r="F78" s="5" t="s">
        <v>29</v>
      </c>
      <c r="G78" s="5" t="s">
        <v>18</v>
      </c>
      <c r="H78" s="5" t="s">
        <v>31</v>
      </c>
      <c r="I78" s="5" t="s">
        <v>32</v>
      </c>
      <c r="J78" s="5" t="s">
        <v>33</v>
      </c>
      <c r="K78" s="5" t="s">
        <v>139</v>
      </c>
      <c r="L78" s="5" t="s">
        <v>23</v>
      </c>
      <c r="M78" s="6" t="s">
        <v>36</v>
      </c>
    </row>
    <row r="79" spans="1:13" ht="12.75" x14ac:dyDescent="0.2">
      <c r="A79" s="7">
        <v>45722.386971284723</v>
      </c>
      <c r="B79" s="8" t="s">
        <v>304</v>
      </c>
      <c r="C79" s="8" t="s">
        <v>305</v>
      </c>
      <c r="D79" s="8" t="s">
        <v>306</v>
      </c>
      <c r="E79" s="8" t="s">
        <v>71</v>
      </c>
      <c r="F79" s="8" t="s">
        <v>17</v>
      </c>
      <c r="G79" s="8" t="s">
        <v>30</v>
      </c>
      <c r="H79" s="8" t="s">
        <v>101</v>
      </c>
      <c r="I79" s="8" t="s">
        <v>32</v>
      </c>
      <c r="J79" s="8" t="s">
        <v>33</v>
      </c>
      <c r="K79" s="8" t="s">
        <v>64</v>
      </c>
      <c r="L79" s="8" t="s">
        <v>23</v>
      </c>
      <c r="M79" s="9" t="s">
        <v>52</v>
      </c>
    </row>
    <row r="80" spans="1:13" ht="12.75" x14ac:dyDescent="0.2">
      <c r="A80" s="4">
        <v>45722.387109085648</v>
      </c>
      <c r="B80" s="5" t="s">
        <v>307</v>
      </c>
      <c r="C80" s="5" t="s">
        <v>308</v>
      </c>
      <c r="D80" s="5" t="s">
        <v>309</v>
      </c>
      <c r="E80" s="5" t="s">
        <v>16</v>
      </c>
      <c r="F80" s="5" t="s">
        <v>41</v>
      </c>
      <c r="G80" s="5" t="s">
        <v>202</v>
      </c>
      <c r="H80" s="5" t="s">
        <v>101</v>
      </c>
      <c r="I80" s="5" t="s">
        <v>179</v>
      </c>
      <c r="J80" s="5" t="s">
        <v>51</v>
      </c>
      <c r="K80" s="5" t="s">
        <v>92</v>
      </c>
      <c r="L80" s="5" t="s">
        <v>23</v>
      </c>
      <c r="M80" s="6" t="s">
        <v>94</v>
      </c>
    </row>
    <row r="81" spans="1:13" ht="12.75" x14ac:dyDescent="0.2">
      <c r="A81" s="7">
        <v>45722.387128252318</v>
      </c>
      <c r="B81" s="8" t="s">
        <v>310</v>
      </c>
      <c r="C81" s="8" t="s">
        <v>311</v>
      </c>
      <c r="D81" s="8" t="s">
        <v>312</v>
      </c>
      <c r="E81" s="8" t="s">
        <v>86</v>
      </c>
      <c r="F81" s="8" t="s">
        <v>49</v>
      </c>
      <c r="G81" s="8" t="s">
        <v>202</v>
      </c>
      <c r="H81" s="8" t="s">
        <v>101</v>
      </c>
      <c r="I81" s="8" t="s">
        <v>126</v>
      </c>
      <c r="J81" s="8" t="s">
        <v>51</v>
      </c>
      <c r="K81" s="8" t="s">
        <v>76</v>
      </c>
      <c r="L81" s="8" t="s">
        <v>93</v>
      </c>
      <c r="M81" s="9" t="s">
        <v>169</v>
      </c>
    </row>
    <row r="82" spans="1:13" ht="12.75" x14ac:dyDescent="0.2">
      <c r="A82" s="4">
        <v>45722.387280069444</v>
      </c>
      <c r="B82" s="5" t="s">
        <v>313</v>
      </c>
      <c r="C82" s="5" t="s">
        <v>314</v>
      </c>
      <c r="D82" s="5" t="s">
        <v>315</v>
      </c>
      <c r="E82" s="5" t="s">
        <v>71</v>
      </c>
      <c r="F82" s="5" t="s">
        <v>41</v>
      </c>
      <c r="G82" s="5" t="s">
        <v>56</v>
      </c>
      <c r="H82" s="5" t="s">
        <v>31</v>
      </c>
      <c r="I82" s="5" t="s">
        <v>32</v>
      </c>
      <c r="J82" s="5" t="s">
        <v>33</v>
      </c>
      <c r="K82" s="5" t="s">
        <v>34</v>
      </c>
      <c r="L82" s="5" t="s">
        <v>58</v>
      </c>
      <c r="M82" s="6" t="s">
        <v>44</v>
      </c>
    </row>
    <row r="83" spans="1:13" ht="12.75" x14ac:dyDescent="0.2">
      <c r="A83" s="7">
        <v>45722.387313333333</v>
      </c>
      <c r="B83" s="8" t="s">
        <v>316</v>
      </c>
      <c r="C83" s="8" t="s">
        <v>317</v>
      </c>
      <c r="D83" s="8" t="s">
        <v>318</v>
      </c>
      <c r="E83" s="8" t="s">
        <v>86</v>
      </c>
      <c r="F83" s="8" t="s">
        <v>29</v>
      </c>
      <c r="G83" s="8" t="s">
        <v>18</v>
      </c>
      <c r="H83" s="8" t="s">
        <v>31</v>
      </c>
      <c r="I83" s="8" t="s">
        <v>32</v>
      </c>
      <c r="J83" s="8" t="s">
        <v>72</v>
      </c>
      <c r="K83" s="8" t="s">
        <v>64</v>
      </c>
      <c r="L83" s="8" t="s">
        <v>23</v>
      </c>
      <c r="M83" s="9" t="s">
        <v>52</v>
      </c>
    </row>
    <row r="84" spans="1:13" ht="12.75" x14ac:dyDescent="0.2">
      <c r="A84" s="4">
        <v>45722.387600393515</v>
      </c>
      <c r="B84" s="5" t="s">
        <v>319</v>
      </c>
      <c r="C84" s="5" t="s">
        <v>320</v>
      </c>
      <c r="D84" s="5" t="s">
        <v>321</v>
      </c>
      <c r="E84" s="5" t="s">
        <v>62</v>
      </c>
      <c r="F84" s="5" t="s">
        <v>17</v>
      </c>
      <c r="G84" s="5" t="s">
        <v>63</v>
      </c>
      <c r="H84" s="5" t="s">
        <v>31</v>
      </c>
      <c r="I84" s="5" t="s">
        <v>32</v>
      </c>
      <c r="J84" s="5" t="s">
        <v>72</v>
      </c>
      <c r="K84" s="5" t="s">
        <v>64</v>
      </c>
      <c r="L84" s="5" t="s">
        <v>35</v>
      </c>
      <c r="M84" s="6" t="s">
        <v>36</v>
      </c>
    </row>
    <row r="85" spans="1:13" ht="12.75" x14ac:dyDescent="0.2">
      <c r="A85" s="7">
        <v>45722.38780704861</v>
      </c>
      <c r="B85" s="8" t="s">
        <v>322</v>
      </c>
      <c r="C85" s="8" t="s">
        <v>323</v>
      </c>
      <c r="D85" s="8" t="s">
        <v>324</v>
      </c>
      <c r="E85" s="8" t="s">
        <v>71</v>
      </c>
      <c r="F85" s="8" t="s">
        <v>29</v>
      </c>
      <c r="G85" s="8" t="s">
        <v>63</v>
      </c>
      <c r="H85" s="8" t="s">
        <v>19</v>
      </c>
      <c r="I85" s="8" t="s">
        <v>43</v>
      </c>
      <c r="J85" s="8" t="s">
        <v>72</v>
      </c>
      <c r="K85" s="8" t="s">
        <v>34</v>
      </c>
      <c r="L85" s="8" t="s">
        <v>23</v>
      </c>
      <c r="M85" s="9" t="s">
        <v>52</v>
      </c>
    </row>
    <row r="86" spans="1:13" ht="12.75" x14ac:dyDescent="0.2">
      <c r="A86" s="4">
        <v>45722.387843425924</v>
      </c>
      <c r="B86" s="5" t="s">
        <v>325</v>
      </c>
      <c r="C86" s="5" t="s">
        <v>326</v>
      </c>
      <c r="D86" s="5" t="s">
        <v>327</v>
      </c>
      <c r="E86" s="5" t="s">
        <v>86</v>
      </c>
      <c r="F86" s="5" t="s">
        <v>41</v>
      </c>
      <c r="G86" s="5" t="s">
        <v>63</v>
      </c>
      <c r="H86" s="5" t="s">
        <v>91</v>
      </c>
      <c r="I86" s="5" t="s">
        <v>43</v>
      </c>
      <c r="J86" s="5" t="s">
        <v>21</v>
      </c>
      <c r="K86" s="5" t="s">
        <v>22</v>
      </c>
      <c r="L86" s="5" t="s">
        <v>150</v>
      </c>
      <c r="M86" s="6" t="s">
        <v>260</v>
      </c>
    </row>
    <row r="87" spans="1:13" ht="12.75" x14ac:dyDescent="0.2">
      <c r="A87" s="7">
        <v>45722.388129999999</v>
      </c>
      <c r="B87" s="8" t="s">
        <v>328</v>
      </c>
      <c r="C87" s="8" t="s">
        <v>329</v>
      </c>
      <c r="D87" s="8" t="s">
        <v>330</v>
      </c>
      <c r="E87" s="8" t="s">
        <v>71</v>
      </c>
      <c r="F87" s="8" t="s">
        <v>29</v>
      </c>
      <c r="G87" s="8" t="s">
        <v>56</v>
      </c>
      <c r="H87" s="8" t="s">
        <v>31</v>
      </c>
      <c r="I87" s="8" t="s">
        <v>32</v>
      </c>
      <c r="J87" s="8" t="s">
        <v>21</v>
      </c>
      <c r="K87" s="8" t="s">
        <v>64</v>
      </c>
      <c r="L87" s="8" t="s">
        <v>35</v>
      </c>
      <c r="M87" s="9" t="s">
        <v>44</v>
      </c>
    </row>
    <row r="88" spans="1:13" ht="12.75" x14ac:dyDescent="0.2">
      <c r="A88" s="4">
        <v>45722.38868418982</v>
      </c>
      <c r="B88" s="5" t="s">
        <v>331</v>
      </c>
      <c r="C88" s="5" t="s">
        <v>332</v>
      </c>
      <c r="D88" s="5" t="s">
        <v>333</v>
      </c>
      <c r="E88" s="5" t="s">
        <v>71</v>
      </c>
      <c r="F88" s="5" t="s">
        <v>29</v>
      </c>
      <c r="G88" s="5" t="s">
        <v>18</v>
      </c>
      <c r="H88" s="5" t="s">
        <v>57</v>
      </c>
      <c r="I88" s="5" t="s">
        <v>126</v>
      </c>
      <c r="J88" s="5" t="s">
        <v>21</v>
      </c>
      <c r="K88" s="5" t="s">
        <v>64</v>
      </c>
      <c r="L88" s="5" t="s">
        <v>35</v>
      </c>
      <c r="M88" s="6" t="s">
        <v>36</v>
      </c>
    </row>
    <row r="89" spans="1:13" ht="12.75" x14ac:dyDescent="0.2">
      <c r="A89" s="7">
        <v>45722.388758993053</v>
      </c>
      <c r="B89" s="8" t="s">
        <v>334</v>
      </c>
      <c r="C89" s="8" t="s">
        <v>335</v>
      </c>
      <c r="D89" s="8" t="s">
        <v>336</v>
      </c>
      <c r="E89" s="8" t="s">
        <v>86</v>
      </c>
      <c r="F89" s="8" t="s">
        <v>41</v>
      </c>
      <c r="G89" s="8" t="s">
        <v>202</v>
      </c>
      <c r="H89" s="8" t="s">
        <v>19</v>
      </c>
      <c r="I89" s="8" t="s">
        <v>50</v>
      </c>
      <c r="J89" s="8" t="s">
        <v>72</v>
      </c>
      <c r="K89" s="8" t="s">
        <v>337</v>
      </c>
      <c r="L89" s="8" t="s">
        <v>180</v>
      </c>
      <c r="M89" s="9" t="s">
        <v>260</v>
      </c>
    </row>
    <row r="90" spans="1:13" ht="12.75" x14ac:dyDescent="0.2">
      <c r="A90" s="4">
        <v>45722.389866226848</v>
      </c>
      <c r="B90" s="5" t="s">
        <v>338</v>
      </c>
      <c r="C90" s="5" t="s">
        <v>339</v>
      </c>
      <c r="D90" s="5" t="s">
        <v>340</v>
      </c>
      <c r="E90" s="5" t="s">
        <v>71</v>
      </c>
      <c r="F90" s="5" t="s">
        <v>41</v>
      </c>
      <c r="G90" s="5" t="s">
        <v>30</v>
      </c>
      <c r="H90" s="5" t="s">
        <v>57</v>
      </c>
      <c r="I90" s="5" t="s">
        <v>32</v>
      </c>
      <c r="J90" s="5" t="s">
        <v>51</v>
      </c>
      <c r="K90" s="5" t="s">
        <v>34</v>
      </c>
      <c r="L90" s="5" t="s">
        <v>58</v>
      </c>
      <c r="M90" s="6" t="s">
        <v>36</v>
      </c>
    </row>
    <row r="91" spans="1:13" ht="12.75" x14ac:dyDescent="0.2">
      <c r="A91" s="10">
        <v>45722.391125335649</v>
      </c>
      <c r="B91" s="11" t="s">
        <v>341</v>
      </c>
      <c r="C91" s="11" t="s">
        <v>342</v>
      </c>
      <c r="D91" s="11" t="s">
        <v>343</v>
      </c>
      <c r="E91" s="11" t="s">
        <v>71</v>
      </c>
      <c r="F91" s="11" t="s">
        <v>49</v>
      </c>
      <c r="G91" s="11" t="s">
        <v>202</v>
      </c>
      <c r="H91" s="11" t="s">
        <v>91</v>
      </c>
      <c r="I91" s="11" t="s">
        <v>50</v>
      </c>
      <c r="J91" s="11" t="s">
        <v>110</v>
      </c>
      <c r="K91" s="11" t="s">
        <v>92</v>
      </c>
      <c r="L91" s="11" t="s">
        <v>23</v>
      </c>
      <c r="M91" s="12" t="s">
        <v>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8CF2-FE7F-A846-AF71-B805D09C836D}">
  <dimension ref="A1:K87"/>
  <sheetViews>
    <sheetView topLeftCell="A40" workbookViewId="0">
      <selection activeCell="C99" sqref="C99"/>
    </sheetView>
  </sheetViews>
  <sheetFormatPr defaultColWidth="11.42578125" defaultRowHeight="12.75" x14ac:dyDescent="0.2"/>
  <cols>
    <col min="1" max="2" width="18.85546875" customWidth="1"/>
    <col min="3" max="11" width="37.7109375" customWidth="1"/>
  </cols>
  <sheetData>
    <row r="1" spans="1:11" x14ac:dyDescent="0.2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12</v>
      </c>
    </row>
    <row r="2" spans="1:11" x14ac:dyDescent="0.2">
      <c r="A2" s="8" t="s">
        <v>184</v>
      </c>
      <c r="B2" s="8" t="s">
        <v>185</v>
      </c>
      <c r="C2" s="8" t="s">
        <v>48</v>
      </c>
      <c r="D2" s="8" t="s">
        <v>29</v>
      </c>
      <c r="E2" s="8" t="s">
        <v>63</v>
      </c>
      <c r="F2" s="8" t="s">
        <v>31</v>
      </c>
      <c r="G2" s="8" t="s">
        <v>43</v>
      </c>
      <c r="H2" s="8" t="s">
        <v>33</v>
      </c>
      <c r="I2" s="8" t="s">
        <v>34</v>
      </c>
      <c r="J2" s="8" t="s">
        <v>58</v>
      </c>
      <c r="K2" s="9" t="s">
        <v>36</v>
      </c>
    </row>
    <row r="3" spans="1:11" x14ac:dyDescent="0.2">
      <c r="A3" s="5" t="s">
        <v>117</v>
      </c>
      <c r="B3" s="5" t="s">
        <v>118</v>
      </c>
      <c r="C3" s="5" t="s">
        <v>71</v>
      </c>
      <c r="D3" s="5" t="s">
        <v>41</v>
      </c>
      <c r="E3" s="5" t="s">
        <v>56</v>
      </c>
      <c r="F3" s="5" t="s">
        <v>57</v>
      </c>
      <c r="G3" s="5" t="s">
        <v>50</v>
      </c>
      <c r="H3" s="5" t="s">
        <v>33</v>
      </c>
      <c r="I3" s="5" t="s">
        <v>64</v>
      </c>
      <c r="J3" s="5" t="s">
        <v>23</v>
      </c>
      <c r="K3" s="6" t="s">
        <v>94</v>
      </c>
    </row>
    <row r="4" spans="1:11" x14ac:dyDescent="0.2">
      <c r="A4" s="8" t="s">
        <v>319</v>
      </c>
      <c r="B4" s="8" t="s">
        <v>320</v>
      </c>
      <c r="C4" s="8" t="s">
        <v>62</v>
      </c>
      <c r="D4" s="8" t="s">
        <v>17</v>
      </c>
      <c r="E4" s="8" t="s">
        <v>63</v>
      </c>
      <c r="F4" s="8" t="s">
        <v>31</v>
      </c>
      <c r="G4" s="8" t="s">
        <v>32</v>
      </c>
      <c r="H4" s="8" t="s">
        <v>72</v>
      </c>
      <c r="I4" s="8" t="s">
        <v>64</v>
      </c>
      <c r="J4" s="8" t="s">
        <v>35</v>
      </c>
      <c r="K4" s="9" t="s">
        <v>36</v>
      </c>
    </row>
    <row r="5" spans="1:11" x14ac:dyDescent="0.2">
      <c r="A5" s="5" t="s">
        <v>328</v>
      </c>
      <c r="B5" s="5" t="s">
        <v>329</v>
      </c>
      <c r="C5" s="5" t="s">
        <v>71</v>
      </c>
      <c r="D5" s="5" t="s">
        <v>29</v>
      </c>
      <c r="E5" s="5" t="s">
        <v>56</v>
      </c>
      <c r="F5" s="5" t="s">
        <v>31</v>
      </c>
      <c r="G5" s="5" t="s">
        <v>32</v>
      </c>
      <c r="H5" s="5" t="s">
        <v>21</v>
      </c>
      <c r="I5" s="5" t="s">
        <v>64</v>
      </c>
      <c r="J5" s="5" t="s">
        <v>35</v>
      </c>
      <c r="K5" s="6" t="s">
        <v>44</v>
      </c>
    </row>
    <row r="6" spans="1:11" x14ac:dyDescent="0.2">
      <c r="A6" s="8" t="s">
        <v>102</v>
      </c>
      <c r="B6" s="8" t="s">
        <v>103</v>
      </c>
      <c r="C6" s="8" t="s">
        <v>48</v>
      </c>
      <c r="D6" s="8" t="s">
        <v>105</v>
      </c>
      <c r="E6" s="8" t="s">
        <v>30</v>
      </c>
      <c r="F6" s="8" t="s">
        <v>101</v>
      </c>
      <c r="G6" s="8" t="s">
        <v>50</v>
      </c>
      <c r="H6" s="8" t="s">
        <v>72</v>
      </c>
      <c r="I6" s="8" t="s">
        <v>22</v>
      </c>
      <c r="J6" s="8" t="s">
        <v>106</v>
      </c>
      <c r="K6" s="9" t="s">
        <v>44</v>
      </c>
    </row>
    <row r="7" spans="1:11" x14ac:dyDescent="0.2">
      <c r="A7" s="5" t="s">
        <v>25</v>
      </c>
      <c r="B7" s="5" t="s">
        <v>26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6" t="s">
        <v>36</v>
      </c>
    </row>
    <row r="8" spans="1:11" x14ac:dyDescent="0.2">
      <c r="A8" s="8" t="s">
        <v>304</v>
      </c>
      <c r="B8" s="8" t="s">
        <v>305</v>
      </c>
      <c r="C8" s="8" t="s">
        <v>71</v>
      </c>
      <c r="D8" s="8" t="s">
        <v>17</v>
      </c>
      <c r="E8" s="8" t="s">
        <v>30</v>
      </c>
      <c r="F8" s="8" t="s">
        <v>101</v>
      </c>
      <c r="G8" s="8" t="s">
        <v>32</v>
      </c>
      <c r="H8" s="8" t="s">
        <v>33</v>
      </c>
      <c r="I8" s="8" t="s">
        <v>64</v>
      </c>
      <c r="J8" s="8" t="s">
        <v>23</v>
      </c>
      <c r="K8" s="9" t="s">
        <v>52</v>
      </c>
    </row>
    <row r="9" spans="1:11" x14ac:dyDescent="0.2">
      <c r="A9" s="5" t="s">
        <v>59</v>
      </c>
      <c r="B9" s="5" t="s">
        <v>60</v>
      </c>
      <c r="C9" s="5" t="s">
        <v>62</v>
      </c>
      <c r="D9" s="5" t="s">
        <v>41</v>
      </c>
      <c r="E9" s="5" t="s">
        <v>63</v>
      </c>
      <c r="F9" s="5" t="s">
        <v>31</v>
      </c>
      <c r="G9" s="5" t="s">
        <v>43</v>
      </c>
      <c r="H9" s="5" t="s">
        <v>21</v>
      </c>
      <c r="I9" s="5" t="s">
        <v>64</v>
      </c>
      <c r="J9" s="5" t="s">
        <v>35</v>
      </c>
      <c r="K9" s="6" t="s">
        <v>44</v>
      </c>
    </row>
    <row r="10" spans="1:11" x14ac:dyDescent="0.2">
      <c r="A10" s="8" t="s">
        <v>236</v>
      </c>
      <c r="B10" s="8" t="s">
        <v>237</v>
      </c>
      <c r="C10" s="8" t="s">
        <v>62</v>
      </c>
      <c r="D10" s="8" t="s">
        <v>29</v>
      </c>
      <c r="E10" s="8" t="s">
        <v>202</v>
      </c>
      <c r="F10" s="8" t="s">
        <v>42</v>
      </c>
      <c r="G10" s="8" t="s">
        <v>20</v>
      </c>
      <c r="H10" s="8" t="s">
        <v>146</v>
      </c>
      <c r="I10" s="8" t="s">
        <v>76</v>
      </c>
      <c r="J10" s="8" t="s">
        <v>23</v>
      </c>
      <c r="K10" s="9" t="s">
        <v>169</v>
      </c>
    </row>
    <row r="11" spans="1:11" x14ac:dyDescent="0.2">
      <c r="A11" s="5" t="s">
        <v>53</v>
      </c>
      <c r="B11" s="5" t="s">
        <v>54</v>
      </c>
      <c r="C11" s="5" t="s">
        <v>28</v>
      </c>
      <c r="D11" s="5" t="s">
        <v>41</v>
      </c>
      <c r="E11" s="5" t="s">
        <v>56</v>
      </c>
      <c r="F11" s="5" t="s">
        <v>57</v>
      </c>
      <c r="G11" s="5" t="s">
        <v>32</v>
      </c>
      <c r="H11" s="5" t="s">
        <v>33</v>
      </c>
      <c r="I11" s="5" t="s">
        <v>34</v>
      </c>
      <c r="J11" s="5" t="s">
        <v>58</v>
      </c>
      <c r="K11" s="6" t="s">
        <v>44</v>
      </c>
    </row>
    <row r="12" spans="1:11" x14ac:dyDescent="0.2">
      <c r="A12" s="5" t="s">
        <v>264</v>
      </c>
      <c r="B12" s="5" t="s">
        <v>265</v>
      </c>
      <c r="C12" s="5" t="s">
        <v>86</v>
      </c>
      <c r="D12" s="5" t="s">
        <v>267</v>
      </c>
      <c r="E12" s="5" t="s">
        <v>63</v>
      </c>
      <c r="F12" s="5" t="s">
        <v>19</v>
      </c>
      <c r="G12" s="5" t="s">
        <v>43</v>
      </c>
      <c r="H12" s="5" t="s">
        <v>72</v>
      </c>
      <c r="I12" s="5" t="s">
        <v>76</v>
      </c>
      <c r="J12" s="5" t="s">
        <v>58</v>
      </c>
      <c r="K12" s="6" t="s">
        <v>94</v>
      </c>
    </row>
    <row r="13" spans="1:11" x14ac:dyDescent="0.2">
      <c r="A13" s="8" t="s">
        <v>45</v>
      </c>
      <c r="B13" s="8" t="s">
        <v>46</v>
      </c>
      <c r="C13" s="8" t="s">
        <v>48</v>
      </c>
      <c r="D13" s="8" t="s">
        <v>49</v>
      </c>
      <c r="E13" s="8" t="s">
        <v>18</v>
      </c>
      <c r="F13" s="8" t="s">
        <v>19</v>
      </c>
      <c r="G13" s="8" t="s">
        <v>50</v>
      </c>
      <c r="H13" s="8" t="s">
        <v>51</v>
      </c>
      <c r="I13" s="8" t="s">
        <v>22</v>
      </c>
      <c r="J13" s="8" t="s">
        <v>23</v>
      </c>
      <c r="K13" s="9" t="s">
        <v>52</v>
      </c>
    </row>
    <row r="14" spans="1:11" x14ac:dyDescent="0.2">
      <c r="A14" s="5" t="s">
        <v>123</v>
      </c>
      <c r="B14" s="5" t="s">
        <v>124</v>
      </c>
      <c r="C14" s="5" t="s">
        <v>48</v>
      </c>
      <c r="D14" s="5" t="s">
        <v>41</v>
      </c>
      <c r="E14" s="5" t="s">
        <v>63</v>
      </c>
      <c r="F14" s="5" t="s">
        <v>31</v>
      </c>
      <c r="G14" s="5" t="s">
        <v>126</v>
      </c>
      <c r="H14" s="5" t="s">
        <v>72</v>
      </c>
      <c r="I14" s="5" t="s">
        <v>64</v>
      </c>
      <c r="J14" s="5" t="s">
        <v>35</v>
      </c>
      <c r="K14" s="6" t="s">
        <v>44</v>
      </c>
    </row>
    <row r="15" spans="1:11" x14ac:dyDescent="0.2">
      <c r="A15" s="8" t="s">
        <v>255</v>
      </c>
      <c r="B15" s="8" t="s">
        <v>256</v>
      </c>
      <c r="C15" s="8" t="s">
        <v>28</v>
      </c>
      <c r="D15" s="8" t="s">
        <v>49</v>
      </c>
      <c r="E15" s="8" t="s">
        <v>258</v>
      </c>
      <c r="F15" s="8" t="s">
        <v>259</v>
      </c>
      <c r="G15" s="8" t="s">
        <v>50</v>
      </c>
      <c r="H15" s="8" t="s">
        <v>21</v>
      </c>
      <c r="I15" s="8" t="s">
        <v>139</v>
      </c>
      <c r="J15" s="8" t="s">
        <v>23</v>
      </c>
      <c r="K15" s="9" t="s">
        <v>260</v>
      </c>
    </row>
    <row r="16" spans="1:11" x14ac:dyDescent="0.2">
      <c r="A16" s="5" t="s">
        <v>107</v>
      </c>
      <c r="B16" s="5" t="s">
        <v>108</v>
      </c>
      <c r="C16" s="5" t="s">
        <v>28</v>
      </c>
      <c r="D16" s="5" t="s">
        <v>29</v>
      </c>
      <c r="E16" s="5" t="s">
        <v>63</v>
      </c>
      <c r="F16" s="5" t="s">
        <v>101</v>
      </c>
      <c r="G16" s="5" t="s">
        <v>20</v>
      </c>
      <c r="H16" s="5" t="s">
        <v>110</v>
      </c>
      <c r="I16" s="5" t="s">
        <v>92</v>
      </c>
      <c r="J16" s="5" t="s">
        <v>23</v>
      </c>
      <c r="K16" s="6" t="s">
        <v>24</v>
      </c>
    </row>
    <row r="17" spans="1:11" x14ac:dyDescent="0.2">
      <c r="A17" s="8" t="s">
        <v>77</v>
      </c>
      <c r="B17" s="8" t="s">
        <v>78</v>
      </c>
      <c r="C17" s="8" t="s">
        <v>71</v>
      </c>
      <c r="D17" s="8" t="s">
        <v>41</v>
      </c>
      <c r="E17" s="8" t="s">
        <v>18</v>
      </c>
      <c r="F17" s="8" t="s">
        <v>19</v>
      </c>
      <c r="G17" s="8" t="s">
        <v>50</v>
      </c>
      <c r="H17" s="8" t="s">
        <v>21</v>
      </c>
      <c r="I17" s="8" t="s">
        <v>64</v>
      </c>
      <c r="J17" s="8" t="s">
        <v>35</v>
      </c>
      <c r="K17" s="9" t="s">
        <v>52</v>
      </c>
    </row>
    <row r="18" spans="1:11" x14ac:dyDescent="0.2">
      <c r="A18" s="5" t="s">
        <v>230</v>
      </c>
      <c r="B18" s="5" t="s">
        <v>231</v>
      </c>
      <c r="C18" s="5" t="s">
        <v>71</v>
      </c>
      <c r="D18" s="5" t="s">
        <v>49</v>
      </c>
      <c r="E18" s="5" t="s">
        <v>63</v>
      </c>
      <c r="F18" s="5" t="s">
        <v>31</v>
      </c>
      <c r="G18" s="5" t="s">
        <v>43</v>
      </c>
      <c r="H18" s="5" t="s">
        <v>33</v>
      </c>
      <c r="I18" s="5" t="s">
        <v>64</v>
      </c>
      <c r="J18" s="5" t="s">
        <v>23</v>
      </c>
      <c r="K18" s="6" t="s">
        <v>52</v>
      </c>
    </row>
    <row r="19" spans="1:11" x14ac:dyDescent="0.2">
      <c r="A19" s="8" t="s">
        <v>286</v>
      </c>
      <c r="B19" s="8" t="s">
        <v>287</v>
      </c>
      <c r="C19" s="8" t="s">
        <v>40</v>
      </c>
      <c r="D19" s="8" t="s">
        <v>29</v>
      </c>
      <c r="E19" s="8" t="s">
        <v>30</v>
      </c>
      <c r="F19" s="8" t="s">
        <v>57</v>
      </c>
      <c r="G19" s="8" t="s">
        <v>32</v>
      </c>
      <c r="H19" s="8" t="s">
        <v>33</v>
      </c>
      <c r="I19" s="8" t="s">
        <v>139</v>
      </c>
      <c r="J19" s="8" t="s">
        <v>58</v>
      </c>
      <c r="K19" s="9" t="s">
        <v>36</v>
      </c>
    </row>
    <row r="20" spans="1:11" x14ac:dyDescent="0.2">
      <c r="A20" s="5" t="s">
        <v>181</v>
      </c>
      <c r="B20" s="5" t="s">
        <v>182</v>
      </c>
      <c r="C20" s="5" t="s">
        <v>71</v>
      </c>
      <c r="D20" s="5" t="s">
        <v>49</v>
      </c>
      <c r="E20" s="5" t="s">
        <v>56</v>
      </c>
      <c r="F20" s="5" t="s">
        <v>31</v>
      </c>
      <c r="G20" s="5" t="s">
        <v>32</v>
      </c>
      <c r="H20" s="5" t="s">
        <v>72</v>
      </c>
      <c r="I20" s="5" t="s">
        <v>34</v>
      </c>
      <c r="J20" s="5" t="s">
        <v>58</v>
      </c>
      <c r="K20" s="6" t="s">
        <v>44</v>
      </c>
    </row>
    <row r="21" spans="1:11" x14ac:dyDescent="0.2">
      <c r="A21" s="8" t="s">
        <v>252</v>
      </c>
      <c r="B21" s="8" t="s">
        <v>253</v>
      </c>
      <c r="C21" s="8" t="s">
        <v>71</v>
      </c>
      <c r="D21" s="8" t="s">
        <v>41</v>
      </c>
      <c r="E21" s="8" t="s">
        <v>63</v>
      </c>
      <c r="F21" s="8" t="s">
        <v>57</v>
      </c>
      <c r="G21" s="8" t="s">
        <v>50</v>
      </c>
      <c r="H21" s="8" t="s">
        <v>21</v>
      </c>
      <c r="I21" s="8" t="s">
        <v>64</v>
      </c>
      <c r="J21" s="8" t="s">
        <v>23</v>
      </c>
      <c r="K21" s="9" t="s">
        <v>44</v>
      </c>
    </row>
    <row r="22" spans="1:11" x14ac:dyDescent="0.2">
      <c r="A22" s="5" t="s">
        <v>173</v>
      </c>
      <c r="B22" s="5" t="s">
        <v>174</v>
      </c>
      <c r="C22" s="5" t="s">
        <v>71</v>
      </c>
      <c r="D22" s="5" t="s">
        <v>29</v>
      </c>
      <c r="E22" s="5" t="s">
        <v>56</v>
      </c>
      <c r="F22" s="5" t="s">
        <v>31</v>
      </c>
      <c r="G22" s="5" t="s">
        <v>43</v>
      </c>
      <c r="H22" s="5" t="s">
        <v>33</v>
      </c>
      <c r="I22" s="5" t="s">
        <v>34</v>
      </c>
      <c r="J22" s="5" t="s">
        <v>23</v>
      </c>
      <c r="K22" s="6" t="s">
        <v>44</v>
      </c>
    </row>
    <row r="23" spans="1:11" x14ac:dyDescent="0.2">
      <c r="A23" s="8" t="s">
        <v>95</v>
      </c>
      <c r="B23" s="8" t="s">
        <v>96</v>
      </c>
      <c r="C23" s="8" t="s">
        <v>62</v>
      </c>
      <c r="D23" s="8" t="s">
        <v>41</v>
      </c>
      <c r="E23" s="8" t="s">
        <v>63</v>
      </c>
      <c r="F23" s="8" t="s">
        <v>31</v>
      </c>
      <c r="G23" s="8" t="s">
        <v>20</v>
      </c>
      <c r="H23" s="8" t="s">
        <v>21</v>
      </c>
      <c r="I23" s="8" t="s">
        <v>64</v>
      </c>
      <c r="J23" s="8" t="s">
        <v>23</v>
      </c>
      <c r="K23" s="9" t="s">
        <v>52</v>
      </c>
    </row>
    <row r="24" spans="1:11" x14ac:dyDescent="0.2">
      <c r="A24" s="5" t="s">
        <v>239</v>
      </c>
      <c r="B24" s="5" t="s">
        <v>240</v>
      </c>
      <c r="C24" s="5" t="s">
        <v>71</v>
      </c>
      <c r="D24" s="5" t="s">
        <v>29</v>
      </c>
      <c r="E24" s="5" t="s">
        <v>63</v>
      </c>
      <c r="F24" s="5" t="s">
        <v>101</v>
      </c>
      <c r="G24" s="5" t="s">
        <v>43</v>
      </c>
      <c r="H24" s="5" t="s">
        <v>72</v>
      </c>
      <c r="I24" s="5" t="s">
        <v>34</v>
      </c>
      <c r="J24" s="5" t="s">
        <v>23</v>
      </c>
      <c r="K24" s="6" t="s">
        <v>44</v>
      </c>
    </row>
    <row r="25" spans="1:11" x14ac:dyDescent="0.2">
      <c r="A25" s="8" t="s">
        <v>242</v>
      </c>
      <c r="B25" s="8" t="s">
        <v>243</v>
      </c>
      <c r="C25" s="8" t="s">
        <v>28</v>
      </c>
      <c r="D25" s="8" t="s">
        <v>105</v>
      </c>
      <c r="E25" s="8" t="s">
        <v>30</v>
      </c>
      <c r="F25" s="8" t="s">
        <v>31</v>
      </c>
      <c r="G25" s="8" t="s">
        <v>50</v>
      </c>
      <c r="H25" s="8" t="s">
        <v>33</v>
      </c>
      <c r="I25" s="8" t="s">
        <v>139</v>
      </c>
      <c r="J25" s="8" t="s">
        <v>58</v>
      </c>
      <c r="K25" s="9" t="s">
        <v>36</v>
      </c>
    </row>
    <row r="26" spans="1:11" x14ac:dyDescent="0.2">
      <c r="A26" s="5" t="s">
        <v>221</v>
      </c>
      <c r="B26" s="5" t="s">
        <v>222</v>
      </c>
      <c r="C26" s="5" t="s">
        <v>71</v>
      </c>
      <c r="D26" s="5" t="s">
        <v>41</v>
      </c>
      <c r="E26" s="5" t="s">
        <v>63</v>
      </c>
      <c r="F26" s="5" t="s">
        <v>101</v>
      </c>
      <c r="G26" s="5" t="s">
        <v>50</v>
      </c>
      <c r="H26" s="5" t="s">
        <v>72</v>
      </c>
      <c r="I26" s="5" t="s">
        <v>34</v>
      </c>
      <c r="J26" s="5" t="s">
        <v>58</v>
      </c>
      <c r="K26" s="6" t="s">
        <v>44</v>
      </c>
    </row>
    <row r="27" spans="1:11" x14ac:dyDescent="0.2">
      <c r="A27" s="8" t="s">
        <v>224</v>
      </c>
      <c r="B27" s="8" t="s">
        <v>225</v>
      </c>
      <c r="C27" s="8" t="s">
        <v>48</v>
      </c>
      <c r="D27" s="8" t="s">
        <v>41</v>
      </c>
      <c r="E27" s="8" t="s">
        <v>56</v>
      </c>
      <c r="F27" s="8" t="s">
        <v>57</v>
      </c>
      <c r="G27" s="8" t="s">
        <v>32</v>
      </c>
      <c r="H27" s="8" t="s">
        <v>72</v>
      </c>
      <c r="I27" s="8" t="s">
        <v>34</v>
      </c>
      <c r="J27" s="8" t="s">
        <v>58</v>
      </c>
      <c r="K27" s="9" t="s">
        <v>44</v>
      </c>
    </row>
    <row r="28" spans="1:11" x14ac:dyDescent="0.2">
      <c r="A28" s="5" t="s">
        <v>147</v>
      </c>
      <c r="B28" s="5" t="s">
        <v>148</v>
      </c>
      <c r="C28" s="5" t="s">
        <v>71</v>
      </c>
      <c r="D28" s="5" t="s">
        <v>41</v>
      </c>
      <c r="E28" s="5" t="s">
        <v>90</v>
      </c>
      <c r="F28" s="5" t="s">
        <v>42</v>
      </c>
      <c r="G28" s="5" t="s">
        <v>20</v>
      </c>
      <c r="H28" s="5" t="s">
        <v>110</v>
      </c>
      <c r="I28" s="5" t="s">
        <v>64</v>
      </c>
      <c r="J28" s="5" t="s">
        <v>150</v>
      </c>
      <c r="K28" s="6" t="s">
        <v>94</v>
      </c>
    </row>
    <row r="29" spans="1:11" x14ac:dyDescent="0.2">
      <c r="A29" s="8" t="s">
        <v>187</v>
      </c>
      <c r="B29" s="8" t="s">
        <v>188</v>
      </c>
      <c r="C29" s="8" t="s">
        <v>48</v>
      </c>
      <c r="D29" s="8" t="s">
        <v>41</v>
      </c>
      <c r="E29" s="8" t="s">
        <v>63</v>
      </c>
      <c r="F29" s="8" t="s">
        <v>101</v>
      </c>
      <c r="G29" s="8" t="s">
        <v>50</v>
      </c>
      <c r="H29" s="8" t="s">
        <v>21</v>
      </c>
      <c r="I29" s="8" t="s">
        <v>64</v>
      </c>
      <c r="J29" s="8" t="s">
        <v>23</v>
      </c>
      <c r="K29" s="9" t="s">
        <v>44</v>
      </c>
    </row>
    <row r="30" spans="1:11" x14ac:dyDescent="0.2">
      <c r="A30" s="5" t="s">
        <v>151</v>
      </c>
      <c r="B30" s="5" t="s">
        <v>152</v>
      </c>
      <c r="C30" s="5" t="s">
        <v>40</v>
      </c>
      <c r="D30" s="5" t="s">
        <v>41</v>
      </c>
      <c r="E30" s="5" t="s">
        <v>56</v>
      </c>
      <c r="F30" s="5" t="s">
        <v>31</v>
      </c>
      <c r="G30" s="5" t="s">
        <v>50</v>
      </c>
      <c r="H30" s="5" t="s">
        <v>72</v>
      </c>
      <c r="I30" s="5" t="s">
        <v>34</v>
      </c>
      <c r="J30" s="5" t="s">
        <v>35</v>
      </c>
      <c r="K30" s="6" t="s">
        <v>52</v>
      </c>
    </row>
    <row r="31" spans="1:11" x14ac:dyDescent="0.2">
      <c r="A31" s="8" t="s">
        <v>193</v>
      </c>
      <c r="B31" s="8" t="s">
        <v>194</v>
      </c>
      <c r="C31" s="8" t="s">
        <v>48</v>
      </c>
      <c r="D31" s="8" t="s">
        <v>49</v>
      </c>
      <c r="E31" s="8" t="s">
        <v>63</v>
      </c>
      <c r="F31" s="8" t="s">
        <v>19</v>
      </c>
      <c r="G31" s="8" t="s">
        <v>50</v>
      </c>
      <c r="H31" s="8" t="s">
        <v>51</v>
      </c>
      <c r="I31" s="8" t="s">
        <v>64</v>
      </c>
      <c r="J31" s="8" t="s">
        <v>58</v>
      </c>
      <c r="K31" s="9" t="s">
        <v>52</v>
      </c>
    </row>
    <row r="32" spans="1:11" x14ac:dyDescent="0.2">
      <c r="A32" s="5" t="s">
        <v>233</v>
      </c>
      <c r="B32" s="5" t="s">
        <v>234</v>
      </c>
      <c r="C32" s="5" t="s">
        <v>71</v>
      </c>
      <c r="D32" s="5" t="s">
        <v>29</v>
      </c>
      <c r="E32" s="5" t="s">
        <v>63</v>
      </c>
      <c r="F32" s="5" t="s">
        <v>101</v>
      </c>
      <c r="G32" s="5" t="s">
        <v>50</v>
      </c>
      <c r="H32" s="5" t="s">
        <v>21</v>
      </c>
      <c r="I32" s="5" t="s">
        <v>64</v>
      </c>
      <c r="J32" s="5" t="s">
        <v>23</v>
      </c>
      <c r="K32" s="6" t="s">
        <v>169</v>
      </c>
    </row>
    <row r="33" spans="1:11" x14ac:dyDescent="0.2">
      <c r="A33" s="8" t="s">
        <v>218</v>
      </c>
      <c r="B33" s="8" t="s">
        <v>219</v>
      </c>
      <c r="C33" s="8" t="s">
        <v>62</v>
      </c>
      <c r="D33" s="8" t="s">
        <v>41</v>
      </c>
      <c r="E33" s="8" t="s">
        <v>63</v>
      </c>
      <c r="F33" s="8" t="s">
        <v>19</v>
      </c>
      <c r="G33" s="8" t="s">
        <v>126</v>
      </c>
      <c r="H33" s="8" t="s">
        <v>21</v>
      </c>
      <c r="I33" s="8" t="s">
        <v>34</v>
      </c>
      <c r="J33" s="8" t="s">
        <v>23</v>
      </c>
      <c r="K33" s="9" t="s">
        <v>52</v>
      </c>
    </row>
    <row r="34" spans="1:11" x14ac:dyDescent="0.2">
      <c r="A34" s="5" t="s">
        <v>163</v>
      </c>
      <c r="B34" s="5" t="s">
        <v>164</v>
      </c>
      <c r="C34" s="5" t="s">
        <v>71</v>
      </c>
      <c r="D34" s="5" t="s">
        <v>41</v>
      </c>
      <c r="E34" s="5" t="s">
        <v>56</v>
      </c>
      <c r="F34" s="5" t="s">
        <v>31</v>
      </c>
      <c r="G34" s="5" t="s">
        <v>43</v>
      </c>
      <c r="H34" s="5" t="s">
        <v>72</v>
      </c>
      <c r="I34" s="5" t="s">
        <v>34</v>
      </c>
      <c r="J34" s="5" t="s">
        <v>58</v>
      </c>
      <c r="K34" s="6" t="s">
        <v>44</v>
      </c>
    </row>
    <row r="35" spans="1:11" x14ac:dyDescent="0.2">
      <c r="A35" s="5" t="s">
        <v>114</v>
      </c>
      <c r="B35" s="5" t="s">
        <v>115</v>
      </c>
      <c r="C35" s="5" t="s">
        <v>62</v>
      </c>
      <c r="D35" s="5" t="s">
        <v>41</v>
      </c>
      <c r="E35" s="5" t="s">
        <v>56</v>
      </c>
      <c r="F35" s="5" t="s">
        <v>19</v>
      </c>
      <c r="G35" s="5" t="s">
        <v>50</v>
      </c>
      <c r="H35" s="5" t="s">
        <v>72</v>
      </c>
      <c r="I35" s="5" t="s">
        <v>64</v>
      </c>
      <c r="J35" s="5" t="s">
        <v>23</v>
      </c>
      <c r="K35" s="6" t="s">
        <v>44</v>
      </c>
    </row>
    <row r="36" spans="1:11" x14ac:dyDescent="0.2">
      <c r="A36" s="8" t="s">
        <v>196</v>
      </c>
      <c r="B36" s="8" t="s">
        <v>197</v>
      </c>
      <c r="C36" s="8" t="s">
        <v>71</v>
      </c>
      <c r="D36" s="8" t="s">
        <v>41</v>
      </c>
      <c r="E36" s="8" t="s">
        <v>56</v>
      </c>
      <c r="F36" s="8" t="s">
        <v>31</v>
      </c>
      <c r="G36" s="8" t="s">
        <v>32</v>
      </c>
      <c r="H36" s="8" t="s">
        <v>72</v>
      </c>
      <c r="I36" s="8" t="s">
        <v>34</v>
      </c>
      <c r="J36" s="8" t="s">
        <v>23</v>
      </c>
      <c r="K36" s="9" t="s">
        <v>52</v>
      </c>
    </row>
    <row r="37" spans="1:11" x14ac:dyDescent="0.2">
      <c r="A37" s="5" t="s">
        <v>322</v>
      </c>
      <c r="B37" s="5" t="s">
        <v>323</v>
      </c>
      <c r="C37" s="5" t="s">
        <v>71</v>
      </c>
      <c r="D37" s="5" t="s">
        <v>29</v>
      </c>
      <c r="E37" s="5" t="s">
        <v>63</v>
      </c>
      <c r="F37" s="5" t="s">
        <v>19</v>
      </c>
      <c r="G37" s="5" t="s">
        <v>43</v>
      </c>
      <c r="H37" s="5" t="s">
        <v>72</v>
      </c>
      <c r="I37" s="5" t="s">
        <v>34</v>
      </c>
      <c r="J37" s="5" t="s">
        <v>23</v>
      </c>
      <c r="K37" s="6" t="s">
        <v>52</v>
      </c>
    </row>
    <row r="38" spans="1:11" x14ac:dyDescent="0.2">
      <c r="A38" s="8" t="s">
        <v>212</v>
      </c>
      <c r="B38" s="8" t="s">
        <v>213</v>
      </c>
      <c r="C38" s="8" t="s">
        <v>28</v>
      </c>
      <c r="D38" s="8" t="s">
        <v>49</v>
      </c>
      <c r="E38" s="8" t="s">
        <v>63</v>
      </c>
      <c r="F38" s="8" t="s">
        <v>101</v>
      </c>
      <c r="G38" s="8" t="s">
        <v>43</v>
      </c>
      <c r="H38" s="8" t="s">
        <v>51</v>
      </c>
      <c r="I38" s="8" t="s">
        <v>64</v>
      </c>
      <c r="J38" s="8" t="s">
        <v>23</v>
      </c>
      <c r="K38" s="9" t="s">
        <v>44</v>
      </c>
    </row>
    <row r="39" spans="1:11" x14ac:dyDescent="0.2">
      <c r="A39" s="5" t="s">
        <v>73</v>
      </c>
      <c r="B39" s="5" t="s">
        <v>74</v>
      </c>
      <c r="C39" s="5" t="s">
        <v>48</v>
      </c>
      <c r="D39" s="5" t="s">
        <v>49</v>
      </c>
      <c r="E39" s="5" t="s">
        <v>56</v>
      </c>
      <c r="F39" s="5" t="s">
        <v>42</v>
      </c>
      <c r="G39" s="5" t="s">
        <v>50</v>
      </c>
      <c r="H39" s="5" t="s">
        <v>21</v>
      </c>
      <c r="I39" s="5" t="s">
        <v>76</v>
      </c>
      <c r="J39" s="5" t="s">
        <v>23</v>
      </c>
      <c r="K39" s="6" t="s">
        <v>52</v>
      </c>
    </row>
    <row r="40" spans="1:11" x14ac:dyDescent="0.2">
      <c r="A40" s="8" t="s">
        <v>143</v>
      </c>
      <c r="B40" s="8" t="s">
        <v>346</v>
      </c>
      <c r="C40" s="8" t="s">
        <v>16</v>
      </c>
      <c r="D40" s="8" t="s">
        <v>41</v>
      </c>
      <c r="E40" s="8" t="s">
        <v>63</v>
      </c>
      <c r="F40" s="8" t="s">
        <v>91</v>
      </c>
      <c r="G40" s="8" t="s">
        <v>50</v>
      </c>
      <c r="H40" s="8" t="s">
        <v>146</v>
      </c>
      <c r="I40" s="8" t="s">
        <v>64</v>
      </c>
      <c r="J40" s="8" t="s">
        <v>23</v>
      </c>
      <c r="K40" s="9" t="s">
        <v>94</v>
      </c>
    </row>
    <row r="41" spans="1:11" x14ac:dyDescent="0.2">
      <c r="A41" s="5" t="s">
        <v>130</v>
      </c>
      <c r="B41" s="5" t="s">
        <v>131</v>
      </c>
      <c r="C41" s="5" t="s">
        <v>71</v>
      </c>
      <c r="D41" s="5" t="s">
        <v>41</v>
      </c>
      <c r="E41" s="5" t="s">
        <v>56</v>
      </c>
      <c r="F41" s="5" t="s">
        <v>57</v>
      </c>
      <c r="G41" s="5" t="s">
        <v>32</v>
      </c>
      <c r="H41" s="5" t="s">
        <v>33</v>
      </c>
      <c r="I41" s="5" t="s">
        <v>64</v>
      </c>
      <c r="J41" s="5" t="s">
        <v>58</v>
      </c>
      <c r="K41" s="6" t="s">
        <v>44</v>
      </c>
    </row>
    <row r="42" spans="1:11" x14ac:dyDescent="0.2">
      <c r="A42" s="8" t="s">
        <v>140</v>
      </c>
      <c r="B42" s="8" t="s">
        <v>141</v>
      </c>
      <c r="C42" s="8" t="s">
        <v>40</v>
      </c>
      <c r="D42" s="8" t="s">
        <v>41</v>
      </c>
      <c r="E42" s="8" t="s">
        <v>56</v>
      </c>
      <c r="F42" s="8" t="s">
        <v>57</v>
      </c>
      <c r="G42" s="8" t="s">
        <v>43</v>
      </c>
      <c r="H42" s="8" t="s">
        <v>72</v>
      </c>
      <c r="I42" s="8" t="s">
        <v>64</v>
      </c>
      <c r="J42" s="8" t="s">
        <v>35</v>
      </c>
      <c r="K42" s="9" t="s">
        <v>44</v>
      </c>
    </row>
    <row r="43" spans="1:11" x14ac:dyDescent="0.2">
      <c r="A43" s="5" t="s">
        <v>136</v>
      </c>
      <c r="B43" s="5" t="s">
        <v>137</v>
      </c>
      <c r="C43" s="5" t="s">
        <v>86</v>
      </c>
      <c r="D43" s="5" t="s">
        <v>17</v>
      </c>
      <c r="E43" s="5" t="s">
        <v>63</v>
      </c>
      <c r="F43" s="5" t="s">
        <v>91</v>
      </c>
      <c r="G43" s="5" t="s">
        <v>32</v>
      </c>
      <c r="H43" s="5" t="s">
        <v>51</v>
      </c>
      <c r="I43" s="5" t="s">
        <v>139</v>
      </c>
      <c r="J43" s="5" t="s">
        <v>35</v>
      </c>
      <c r="K43" s="6" t="s">
        <v>52</v>
      </c>
    </row>
    <row r="44" spans="1:11" x14ac:dyDescent="0.2">
      <c r="A44" s="8" t="s">
        <v>176</v>
      </c>
      <c r="B44" s="8" t="s">
        <v>177</v>
      </c>
      <c r="C44" s="8" t="s">
        <v>28</v>
      </c>
      <c r="D44" s="8" t="s">
        <v>41</v>
      </c>
      <c r="E44" s="8" t="s">
        <v>63</v>
      </c>
      <c r="F44" s="8" t="s">
        <v>19</v>
      </c>
      <c r="G44" s="8" t="s">
        <v>179</v>
      </c>
      <c r="H44" s="8" t="s">
        <v>33</v>
      </c>
      <c r="I44" s="8" t="s">
        <v>139</v>
      </c>
      <c r="J44" s="8" t="s">
        <v>180</v>
      </c>
      <c r="K44" s="9" t="s">
        <v>94</v>
      </c>
    </row>
    <row r="45" spans="1:11" x14ac:dyDescent="0.2">
      <c r="A45" s="5" t="s">
        <v>341</v>
      </c>
      <c r="B45" s="5" t="s">
        <v>342</v>
      </c>
      <c r="C45" s="5" t="s">
        <v>71</v>
      </c>
      <c r="D45" s="5" t="s">
        <v>49</v>
      </c>
      <c r="E45" s="5" t="s">
        <v>202</v>
      </c>
      <c r="F45" s="5" t="s">
        <v>91</v>
      </c>
      <c r="G45" s="5" t="s">
        <v>50</v>
      </c>
      <c r="H45" s="5" t="s">
        <v>110</v>
      </c>
      <c r="I45" s="5" t="s">
        <v>92</v>
      </c>
      <c r="J45" s="5" t="s">
        <v>23</v>
      </c>
      <c r="K45" s="6" t="s">
        <v>260</v>
      </c>
    </row>
    <row r="46" spans="1:11" x14ac:dyDescent="0.2">
      <c r="A46" s="8" t="s">
        <v>298</v>
      </c>
      <c r="B46" s="8" t="s">
        <v>299</v>
      </c>
      <c r="C46" s="8" t="s">
        <v>16</v>
      </c>
      <c r="D46" s="8" t="s">
        <v>41</v>
      </c>
      <c r="E46" s="8" t="s">
        <v>18</v>
      </c>
      <c r="F46" s="8" t="s">
        <v>101</v>
      </c>
      <c r="G46" s="8" t="s">
        <v>43</v>
      </c>
      <c r="H46" s="8" t="s">
        <v>72</v>
      </c>
      <c r="I46" s="8" t="s">
        <v>22</v>
      </c>
      <c r="J46" s="8" t="s">
        <v>106</v>
      </c>
      <c r="K46" s="9" t="s">
        <v>52</v>
      </c>
    </row>
    <row r="47" spans="1:11" x14ac:dyDescent="0.2">
      <c r="A47" s="5" t="s">
        <v>331</v>
      </c>
      <c r="B47" s="5" t="s">
        <v>332</v>
      </c>
      <c r="C47" s="5" t="s">
        <v>71</v>
      </c>
      <c r="D47" s="5" t="s">
        <v>29</v>
      </c>
      <c r="E47" s="5" t="s">
        <v>18</v>
      </c>
      <c r="F47" s="5" t="s">
        <v>57</v>
      </c>
      <c r="G47" s="5" t="s">
        <v>126</v>
      </c>
      <c r="H47" s="5" t="s">
        <v>21</v>
      </c>
      <c r="I47" s="5" t="s">
        <v>64</v>
      </c>
      <c r="J47" s="5" t="s">
        <v>35</v>
      </c>
      <c r="K47" s="6" t="s">
        <v>36</v>
      </c>
    </row>
    <row r="48" spans="1:11" x14ac:dyDescent="0.2">
      <c r="A48" s="8" t="s">
        <v>127</v>
      </c>
      <c r="B48" s="8" t="s">
        <v>128</v>
      </c>
      <c r="C48" s="8" t="s">
        <v>28</v>
      </c>
      <c r="D48" s="8" t="s">
        <v>29</v>
      </c>
      <c r="E48" s="8" t="s">
        <v>90</v>
      </c>
      <c r="F48" s="8" t="s">
        <v>42</v>
      </c>
      <c r="G48" s="8" t="s">
        <v>50</v>
      </c>
      <c r="H48" s="8" t="s">
        <v>21</v>
      </c>
      <c r="I48" s="8" t="s">
        <v>34</v>
      </c>
      <c r="J48" s="8" t="s">
        <v>23</v>
      </c>
      <c r="K48" s="9" t="s">
        <v>44</v>
      </c>
    </row>
    <row r="49" spans="1:11" x14ac:dyDescent="0.2">
      <c r="A49" s="5" t="s">
        <v>209</v>
      </c>
      <c r="B49" s="5" t="s">
        <v>210</v>
      </c>
      <c r="C49" s="5" t="s">
        <v>71</v>
      </c>
      <c r="D49" s="5" t="s">
        <v>41</v>
      </c>
      <c r="E49" s="5" t="s">
        <v>56</v>
      </c>
      <c r="F49" s="5" t="s">
        <v>57</v>
      </c>
      <c r="G49" s="5" t="s">
        <v>32</v>
      </c>
      <c r="H49" s="5" t="s">
        <v>72</v>
      </c>
      <c r="I49" s="5" t="s">
        <v>64</v>
      </c>
      <c r="J49" s="5" t="s">
        <v>23</v>
      </c>
      <c r="K49" s="6" t="s">
        <v>52</v>
      </c>
    </row>
    <row r="50" spans="1:11" x14ac:dyDescent="0.2">
      <c r="A50" s="8" t="s">
        <v>120</v>
      </c>
      <c r="B50" s="8" t="s">
        <v>121</v>
      </c>
      <c r="C50" s="8" t="s">
        <v>71</v>
      </c>
      <c r="D50" s="8" t="s">
        <v>41</v>
      </c>
      <c r="E50" s="8" t="s">
        <v>18</v>
      </c>
      <c r="F50" s="8" t="s">
        <v>19</v>
      </c>
      <c r="G50" s="8" t="s">
        <v>43</v>
      </c>
      <c r="H50" s="8" t="s">
        <v>21</v>
      </c>
      <c r="I50" s="8" t="s">
        <v>64</v>
      </c>
      <c r="J50" s="8" t="s">
        <v>35</v>
      </c>
      <c r="K50" s="9" t="s">
        <v>44</v>
      </c>
    </row>
    <row r="51" spans="1:11" x14ac:dyDescent="0.2">
      <c r="A51" s="5" t="s">
        <v>87</v>
      </c>
      <c r="B51" s="5" t="s">
        <v>88</v>
      </c>
      <c r="C51" s="5" t="s">
        <v>28</v>
      </c>
      <c r="D51" s="5" t="s">
        <v>49</v>
      </c>
      <c r="E51" s="5" t="s">
        <v>90</v>
      </c>
      <c r="F51" s="5" t="s">
        <v>91</v>
      </c>
      <c r="G51" s="5" t="s">
        <v>50</v>
      </c>
      <c r="H51" s="5" t="s">
        <v>21</v>
      </c>
      <c r="I51" s="5" t="s">
        <v>92</v>
      </c>
      <c r="J51" s="5" t="s">
        <v>93</v>
      </c>
      <c r="K51" s="6" t="s">
        <v>94</v>
      </c>
    </row>
    <row r="52" spans="1:11" x14ac:dyDescent="0.2">
      <c r="A52" s="8" t="s">
        <v>68</v>
      </c>
      <c r="B52" s="8" t="s">
        <v>69</v>
      </c>
      <c r="C52" s="8" t="s">
        <v>71</v>
      </c>
      <c r="D52" s="8" t="s">
        <v>17</v>
      </c>
      <c r="E52" s="8" t="s">
        <v>63</v>
      </c>
      <c r="F52" s="8" t="s">
        <v>31</v>
      </c>
      <c r="G52" s="8" t="s">
        <v>43</v>
      </c>
      <c r="H52" s="8" t="s">
        <v>72</v>
      </c>
      <c r="I52" s="8" t="s">
        <v>34</v>
      </c>
      <c r="J52" s="8" t="s">
        <v>35</v>
      </c>
      <c r="K52" s="9" t="s">
        <v>52</v>
      </c>
    </row>
    <row r="53" spans="1:11" x14ac:dyDescent="0.2">
      <c r="A53" s="5" t="s">
        <v>307</v>
      </c>
      <c r="B53" s="5" t="s">
        <v>308</v>
      </c>
      <c r="C53" s="5" t="s">
        <v>16</v>
      </c>
      <c r="D53" s="5" t="s">
        <v>41</v>
      </c>
      <c r="E53" s="5" t="s">
        <v>202</v>
      </c>
      <c r="F53" s="5" t="s">
        <v>101</v>
      </c>
      <c r="G53" s="5" t="s">
        <v>179</v>
      </c>
      <c r="H53" s="5" t="s">
        <v>51</v>
      </c>
      <c r="I53" s="5" t="s">
        <v>92</v>
      </c>
      <c r="J53" s="5" t="s">
        <v>23</v>
      </c>
      <c r="K53" s="6" t="s">
        <v>94</v>
      </c>
    </row>
    <row r="54" spans="1:11" x14ac:dyDescent="0.2">
      <c r="A54" s="8" t="s">
        <v>316</v>
      </c>
      <c r="B54" s="8" t="s">
        <v>317</v>
      </c>
      <c r="C54" s="8" t="s">
        <v>86</v>
      </c>
      <c r="D54" s="8" t="s">
        <v>29</v>
      </c>
      <c r="E54" s="8" t="s">
        <v>18</v>
      </c>
      <c r="F54" s="8" t="s">
        <v>31</v>
      </c>
      <c r="G54" s="8" t="s">
        <v>32</v>
      </c>
      <c r="H54" s="8" t="s">
        <v>72</v>
      </c>
      <c r="I54" s="8" t="s">
        <v>64</v>
      </c>
      <c r="J54" s="8" t="s">
        <v>23</v>
      </c>
      <c r="K54" s="9" t="s">
        <v>52</v>
      </c>
    </row>
    <row r="55" spans="1:11" x14ac:dyDescent="0.2">
      <c r="A55" s="5" t="s">
        <v>274</v>
      </c>
      <c r="B55" s="5" t="s">
        <v>275</v>
      </c>
      <c r="C55" s="5" t="s">
        <v>71</v>
      </c>
      <c r="D55" s="5" t="s">
        <v>49</v>
      </c>
      <c r="E55" s="5" t="s">
        <v>56</v>
      </c>
      <c r="F55" s="5" t="s">
        <v>101</v>
      </c>
      <c r="G55" s="5" t="s">
        <v>20</v>
      </c>
      <c r="H55" s="5" t="s">
        <v>110</v>
      </c>
      <c r="I55" s="5" t="s">
        <v>34</v>
      </c>
      <c r="J55" s="5" t="s">
        <v>58</v>
      </c>
      <c r="K55" s="6" t="s">
        <v>169</v>
      </c>
    </row>
    <row r="56" spans="1:11" x14ac:dyDescent="0.2">
      <c r="A56" s="8" t="s">
        <v>83</v>
      </c>
      <c r="B56" s="8" t="s">
        <v>84</v>
      </c>
      <c r="C56" s="8" t="s">
        <v>86</v>
      </c>
      <c r="D56" s="8" t="s">
        <v>17</v>
      </c>
      <c r="E56" s="8" t="s">
        <v>63</v>
      </c>
      <c r="F56" s="8" t="s">
        <v>19</v>
      </c>
      <c r="G56" s="8" t="s">
        <v>20</v>
      </c>
      <c r="H56" s="8" t="s">
        <v>51</v>
      </c>
      <c r="I56" s="8" t="s">
        <v>22</v>
      </c>
      <c r="J56" s="8" t="s">
        <v>23</v>
      </c>
      <c r="K56" s="9" t="s">
        <v>52</v>
      </c>
    </row>
    <row r="57" spans="1:11" x14ac:dyDescent="0.2">
      <c r="A57" s="5" t="s">
        <v>190</v>
      </c>
      <c r="B57" s="5" t="s">
        <v>191</v>
      </c>
      <c r="C57" s="5" t="s">
        <v>62</v>
      </c>
      <c r="D57" s="5" t="s">
        <v>41</v>
      </c>
      <c r="E57" s="5" t="s">
        <v>56</v>
      </c>
      <c r="F57" s="5" t="s">
        <v>31</v>
      </c>
      <c r="G57" s="5" t="s">
        <v>43</v>
      </c>
      <c r="H57" s="5" t="s">
        <v>33</v>
      </c>
      <c r="I57" s="5" t="s">
        <v>34</v>
      </c>
      <c r="J57" s="5" t="s">
        <v>58</v>
      </c>
      <c r="K57" s="6" t="s">
        <v>44</v>
      </c>
    </row>
    <row r="58" spans="1:11" x14ac:dyDescent="0.2">
      <c r="A58" s="8" t="s">
        <v>37</v>
      </c>
      <c r="B58" s="8" t="s">
        <v>38</v>
      </c>
      <c r="C58" s="8" t="s">
        <v>40</v>
      </c>
      <c r="D58" s="8" t="s">
        <v>41</v>
      </c>
      <c r="E58" s="8" t="s">
        <v>30</v>
      </c>
      <c r="F58" s="8" t="s">
        <v>42</v>
      </c>
      <c r="G58" s="8" t="s">
        <v>43</v>
      </c>
      <c r="H58" s="8" t="s">
        <v>33</v>
      </c>
      <c r="I58" s="8" t="s">
        <v>34</v>
      </c>
      <c r="J58" s="8" t="s">
        <v>35</v>
      </c>
      <c r="K58" s="9" t="s">
        <v>44</v>
      </c>
    </row>
    <row r="59" spans="1:11" x14ac:dyDescent="0.2">
      <c r="A59" s="5" t="s">
        <v>295</v>
      </c>
      <c r="B59" s="5" t="s">
        <v>296</v>
      </c>
      <c r="C59" s="5" t="s">
        <v>71</v>
      </c>
      <c r="D59" s="5" t="s">
        <v>41</v>
      </c>
      <c r="E59" s="5" t="s">
        <v>18</v>
      </c>
      <c r="F59" s="5" t="s">
        <v>19</v>
      </c>
      <c r="G59" s="5" t="s">
        <v>32</v>
      </c>
      <c r="H59" s="5" t="s">
        <v>72</v>
      </c>
      <c r="I59" s="5" t="s">
        <v>34</v>
      </c>
      <c r="J59" s="5" t="s">
        <v>58</v>
      </c>
      <c r="K59" s="6" t="s">
        <v>52</v>
      </c>
    </row>
    <row r="60" spans="1:11" x14ac:dyDescent="0.2">
      <c r="A60" s="8" t="s">
        <v>271</v>
      </c>
      <c r="B60" s="8" t="s">
        <v>272</v>
      </c>
      <c r="C60" s="8" t="s">
        <v>28</v>
      </c>
      <c r="D60" s="8" t="s">
        <v>17</v>
      </c>
      <c r="E60" s="8" t="s">
        <v>202</v>
      </c>
      <c r="F60" s="8" t="s">
        <v>31</v>
      </c>
      <c r="G60" s="8" t="s">
        <v>179</v>
      </c>
      <c r="H60" s="8" t="s">
        <v>110</v>
      </c>
      <c r="I60" s="8" t="s">
        <v>76</v>
      </c>
      <c r="J60" s="8" t="s">
        <v>180</v>
      </c>
      <c r="K60" s="9" t="s">
        <v>94</v>
      </c>
    </row>
    <row r="61" spans="1:11" x14ac:dyDescent="0.2">
      <c r="A61" s="5" t="s">
        <v>199</v>
      </c>
      <c r="B61" s="5" t="s">
        <v>200</v>
      </c>
      <c r="C61" s="5" t="s">
        <v>62</v>
      </c>
      <c r="D61" s="5" t="s">
        <v>49</v>
      </c>
      <c r="E61" s="5" t="s">
        <v>202</v>
      </c>
      <c r="F61" s="5" t="s">
        <v>101</v>
      </c>
      <c r="G61" s="5" t="s">
        <v>43</v>
      </c>
      <c r="H61" s="5" t="s">
        <v>21</v>
      </c>
      <c r="I61" s="5" t="s">
        <v>64</v>
      </c>
      <c r="J61" s="5" t="s">
        <v>58</v>
      </c>
      <c r="K61" s="6" t="s">
        <v>52</v>
      </c>
    </row>
    <row r="62" spans="1:11" x14ac:dyDescent="0.2">
      <c r="A62" s="8" t="s">
        <v>203</v>
      </c>
      <c r="B62" s="8" t="s">
        <v>204</v>
      </c>
      <c r="C62" s="8" t="s">
        <v>71</v>
      </c>
      <c r="D62" s="8" t="s">
        <v>41</v>
      </c>
      <c r="E62" s="8" t="s">
        <v>63</v>
      </c>
      <c r="F62" s="8" t="s">
        <v>31</v>
      </c>
      <c r="G62" s="8" t="s">
        <v>32</v>
      </c>
      <c r="H62" s="8" t="s">
        <v>72</v>
      </c>
      <c r="I62" s="8" t="s">
        <v>64</v>
      </c>
      <c r="J62" s="8" t="s">
        <v>35</v>
      </c>
      <c r="K62" s="9" t="s">
        <v>52</v>
      </c>
    </row>
    <row r="63" spans="1:11" x14ac:dyDescent="0.2">
      <c r="A63" s="5" t="s">
        <v>261</v>
      </c>
      <c r="B63" s="5" t="s">
        <v>262</v>
      </c>
      <c r="C63" s="5" t="s">
        <v>62</v>
      </c>
      <c r="D63" s="5" t="s">
        <v>41</v>
      </c>
      <c r="E63" s="5" t="s">
        <v>63</v>
      </c>
      <c r="F63" s="5" t="s">
        <v>101</v>
      </c>
      <c r="G63" s="5" t="s">
        <v>50</v>
      </c>
      <c r="H63" s="5" t="s">
        <v>72</v>
      </c>
      <c r="I63" s="5" t="s">
        <v>22</v>
      </c>
      <c r="J63" s="5" t="s">
        <v>23</v>
      </c>
      <c r="K63" s="6" t="s">
        <v>52</v>
      </c>
    </row>
    <row r="64" spans="1:11" x14ac:dyDescent="0.2">
      <c r="A64" s="8" t="s">
        <v>166</v>
      </c>
      <c r="B64" s="8" t="s">
        <v>167</v>
      </c>
      <c r="C64" s="8" t="s">
        <v>71</v>
      </c>
      <c r="D64" s="8" t="s">
        <v>41</v>
      </c>
      <c r="E64" s="8" t="s">
        <v>63</v>
      </c>
      <c r="F64" s="8" t="s">
        <v>19</v>
      </c>
      <c r="G64" s="8" t="s">
        <v>43</v>
      </c>
      <c r="H64" s="8" t="s">
        <v>51</v>
      </c>
      <c r="I64" s="8" t="s">
        <v>34</v>
      </c>
      <c r="J64" s="8" t="s">
        <v>23</v>
      </c>
      <c r="K64" s="9" t="s">
        <v>169</v>
      </c>
    </row>
    <row r="65" spans="1:11" x14ac:dyDescent="0.2">
      <c r="A65" s="5" t="s">
        <v>280</v>
      </c>
      <c r="B65" s="5" t="s">
        <v>281</v>
      </c>
      <c r="C65" s="5" t="s">
        <v>71</v>
      </c>
      <c r="D65" s="5" t="s">
        <v>41</v>
      </c>
      <c r="E65" s="5" t="s">
        <v>63</v>
      </c>
      <c r="F65" s="5" t="s">
        <v>31</v>
      </c>
      <c r="G65" s="5" t="s">
        <v>43</v>
      </c>
      <c r="H65" s="5" t="s">
        <v>21</v>
      </c>
      <c r="I65" s="5" t="s">
        <v>64</v>
      </c>
      <c r="J65" s="5" t="s">
        <v>23</v>
      </c>
      <c r="K65" s="6" t="s">
        <v>52</v>
      </c>
    </row>
    <row r="66" spans="1:11" x14ac:dyDescent="0.2">
      <c r="A66" s="8" t="s">
        <v>133</v>
      </c>
      <c r="B66" s="8" t="s">
        <v>134</v>
      </c>
      <c r="C66" s="8" t="s">
        <v>71</v>
      </c>
      <c r="D66" s="8" t="s">
        <v>41</v>
      </c>
      <c r="E66" s="8" t="s">
        <v>63</v>
      </c>
      <c r="F66" s="8" t="s">
        <v>57</v>
      </c>
      <c r="G66" s="8" t="s">
        <v>43</v>
      </c>
      <c r="H66" s="8" t="s">
        <v>72</v>
      </c>
      <c r="I66" s="8" t="s">
        <v>64</v>
      </c>
      <c r="J66" s="8" t="s">
        <v>23</v>
      </c>
      <c r="K66" s="9" t="s">
        <v>52</v>
      </c>
    </row>
    <row r="67" spans="1:11" x14ac:dyDescent="0.2">
      <c r="A67" s="5" t="s">
        <v>313</v>
      </c>
      <c r="B67" s="5" t="s">
        <v>314</v>
      </c>
      <c r="C67" s="5" t="s">
        <v>71</v>
      </c>
      <c r="D67" s="5" t="s">
        <v>41</v>
      </c>
      <c r="E67" s="5" t="s">
        <v>56</v>
      </c>
      <c r="F67" s="5" t="s">
        <v>31</v>
      </c>
      <c r="G67" s="5" t="s">
        <v>32</v>
      </c>
      <c r="H67" s="5" t="s">
        <v>33</v>
      </c>
      <c r="I67" s="5" t="s">
        <v>34</v>
      </c>
      <c r="J67" s="5" t="s">
        <v>58</v>
      </c>
      <c r="K67" s="6" t="s">
        <v>44</v>
      </c>
    </row>
    <row r="68" spans="1:11" x14ac:dyDescent="0.2">
      <c r="A68" s="8" t="s">
        <v>157</v>
      </c>
      <c r="B68" s="8" t="s">
        <v>158</v>
      </c>
      <c r="C68" s="8" t="s">
        <v>71</v>
      </c>
      <c r="D68" s="8" t="s">
        <v>29</v>
      </c>
      <c r="E68" s="8" t="s">
        <v>63</v>
      </c>
      <c r="F68" s="8" t="s">
        <v>42</v>
      </c>
      <c r="G68" s="8" t="s">
        <v>32</v>
      </c>
      <c r="H68" s="8" t="s">
        <v>33</v>
      </c>
      <c r="I68" s="8" t="s">
        <v>139</v>
      </c>
      <c r="J68" s="8" t="s">
        <v>23</v>
      </c>
      <c r="K68" s="9" t="s">
        <v>52</v>
      </c>
    </row>
    <row r="69" spans="1:11" x14ac:dyDescent="0.2">
      <c r="A69" s="5" t="s">
        <v>160</v>
      </c>
      <c r="B69" s="5" t="s">
        <v>161</v>
      </c>
      <c r="C69" s="5" t="s">
        <v>71</v>
      </c>
      <c r="D69" s="5" t="s">
        <v>41</v>
      </c>
      <c r="E69" s="5" t="s">
        <v>63</v>
      </c>
      <c r="F69" s="5" t="s">
        <v>31</v>
      </c>
      <c r="G69" s="5" t="s">
        <v>43</v>
      </c>
      <c r="H69" s="5" t="s">
        <v>72</v>
      </c>
      <c r="I69" s="5" t="s">
        <v>34</v>
      </c>
      <c r="J69" s="5" t="s">
        <v>58</v>
      </c>
      <c r="K69" s="6" t="s">
        <v>44</v>
      </c>
    </row>
    <row r="70" spans="1:11" x14ac:dyDescent="0.2">
      <c r="A70" s="8" t="s">
        <v>283</v>
      </c>
      <c r="B70" s="8" t="s">
        <v>284</v>
      </c>
      <c r="C70" s="8" t="s">
        <v>16</v>
      </c>
      <c r="D70" s="8" t="s">
        <v>41</v>
      </c>
      <c r="E70" s="8" t="s">
        <v>56</v>
      </c>
      <c r="F70" s="8" t="s">
        <v>31</v>
      </c>
      <c r="G70" s="8" t="s">
        <v>32</v>
      </c>
      <c r="H70" s="8" t="s">
        <v>33</v>
      </c>
      <c r="I70" s="8" t="s">
        <v>64</v>
      </c>
      <c r="J70" s="8" t="s">
        <v>35</v>
      </c>
      <c r="K70" s="9" t="s">
        <v>44</v>
      </c>
    </row>
    <row r="71" spans="1:11" x14ac:dyDescent="0.2">
      <c r="A71" s="5" t="s">
        <v>170</v>
      </c>
      <c r="B71" s="5" t="s">
        <v>171</v>
      </c>
      <c r="C71" s="5" t="s">
        <v>62</v>
      </c>
      <c r="D71" s="5" t="s">
        <v>41</v>
      </c>
      <c r="E71" s="5" t="s">
        <v>56</v>
      </c>
      <c r="F71" s="5" t="s">
        <v>101</v>
      </c>
      <c r="G71" s="5" t="s">
        <v>43</v>
      </c>
      <c r="H71" s="5" t="s">
        <v>72</v>
      </c>
      <c r="I71" s="5" t="s">
        <v>64</v>
      </c>
      <c r="J71" s="5" t="s">
        <v>35</v>
      </c>
      <c r="K71" s="6" t="s">
        <v>44</v>
      </c>
    </row>
    <row r="72" spans="1:11" x14ac:dyDescent="0.2">
      <c r="A72" s="8" t="s">
        <v>338</v>
      </c>
      <c r="B72" s="8" t="s">
        <v>339</v>
      </c>
      <c r="C72" s="8" t="s">
        <v>71</v>
      </c>
      <c r="D72" s="8" t="s">
        <v>41</v>
      </c>
      <c r="E72" s="8" t="s">
        <v>30</v>
      </c>
      <c r="F72" s="8" t="s">
        <v>57</v>
      </c>
      <c r="G72" s="8" t="s">
        <v>32</v>
      </c>
      <c r="H72" s="8" t="s">
        <v>51</v>
      </c>
      <c r="I72" s="8" t="s">
        <v>34</v>
      </c>
      <c r="J72" s="8" t="s">
        <v>58</v>
      </c>
      <c r="K72" s="9" t="s">
        <v>36</v>
      </c>
    </row>
    <row r="73" spans="1:11" x14ac:dyDescent="0.2">
      <c r="A73" s="5" t="s">
        <v>80</v>
      </c>
      <c r="B73" s="5" t="s">
        <v>81</v>
      </c>
      <c r="C73" s="5" t="s">
        <v>71</v>
      </c>
      <c r="D73" s="5" t="s">
        <v>41</v>
      </c>
      <c r="E73" s="5" t="s">
        <v>63</v>
      </c>
      <c r="F73" s="5" t="s">
        <v>31</v>
      </c>
      <c r="G73" s="5" t="s">
        <v>50</v>
      </c>
      <c r="H73" s="5" t="s">
        <v>72</v>
      </c>
      <c r="I73" s="5" t="s">
        <v>22</v>
      </c>
      <c r="J73" s="5" t="s">
        <v>23</v>
      </c>
      <c r="K73" s="6" t="s">
        <v>52</v>
      </c>
    </row>
    <row r="74" spans="1:11" x14ac:dyDescent="0.2">
      <c r="A74" s="8" t="s">
        <v>65</v>
      </c>
      <c r="B74" s="8" t="s">
        <v>66</v>
      </c>
      <c r="C74" s="8" t="s">
        <v>40</v>
      </c>
      <c r="D74" s="8" t="s">
        <v>41</v>
      </c>
      <c r="E74" s="8" t="s">
        <v>56</v>
      </c>
      <c r="F74" s="8" t="s">
        <v>57</v>
      </c>
      <c r="G74" s="8" t="s">
        <v>32</v>
      </c>
      <c r="H74" s="8" t="s">
        <v>33</v>
      </c>
      <c r="I74" s="8" t="s">
        <v>34</v>
      </c>
      <c r="J74" s="8" t="s">
        <v>35</v>
      </c>
      <c r="K74" s="9" t="s">
        <v>36</v>
      </c>
    </row>
    <row r="75" spans="1:11" x14ac:dyDescent="0.2">
      <c r="A75" s="5" t="s">
        <v>292</v>
      </c>
      <c r="B75" s="5" t="s">
        <v>293</v>
      </c>
      <c r="C75" s="5" t="s">
        <v>48</v>
      </c>
      <c r="D75" s="5" t="s">
        <v>41</v>
      </c>
      <c r="E75" s="5" t="s">
        <v>63</v>
      </c>
      <c r="F75" s="5" t="s">
        <v>19</v>
      </c>
      <c r="G75" s="5" t="s">
        <v>126</v>
      </c>
      <c r="H75" s="5" t="s">
        <v>51</v>
      </c>
      <c r="I75" s="5" t="s">
        <v>22</v>
      </c>
      <c r="J75" s="5" t="s">
        <v>106</v>
      </c>
      <c r="K75" s="6" t="s">
        <v>52</v>
      </c>
    </row>
    <row r="76" spans="1:11" x14ac:dyDescent="0.2">
      <c r="A76" s="8" t="s">
        <v>334</v>
      </c>
      <c r="B76" s="8" t="s">
        <v>335</v>
      </c>
      <c r="C76" s="8" t="s">
        <v>86</v>
      </c>
      <c r="D76" s="8" t="s">
        <v>41</v>
      </c>
      <c r="E76" s="8" t="s">
        <v>202</v>
      </c>
      <c r="F76" s="8" t="s">
        <v>19</v>
      </c>
      <c r="G76" s="8" t="s">
        <v>50</v>
      </c>
      <c r="H76" s="8" t="s">
        <v>72</v>
      </c>
      <c r="I76" s="8" t="s">
        <v>337</v>
      </c>
      <c r="J76" s="8" t="s">
        <v>180</v>
      </c>
      <c r="K76" s="9" t="s">
        <v>260</v>
      </c>
    </row>
    <row r="77" spans="1:11" x14ac:dyDescent="0.2">
      <c r="A77" s="5" t="s">
        <v>289</v>
      </c>
      <c r="B77" s="5" t="s">
        <v>290</v>
      </c>
      <c r="C77" s="5" t="s">
        <v>40</v>
      </c>
      <c r="D77" s="5" t="s">
        <v>41</v>
      </c>
      <c r="E77" s="5" t="s">
        <v>56</v>
      </c>
      <c r="F77" s="5" t="s">
        <v>57</v>
      </c>
      <c r="G77" s="5" t="s">
        <v>32</v>
      </c>
      <c r="H77" s="5" t="s">
        <v>33</v>
      </c>
      <c r="I77" s="5" t="s">
        <v>34</v>
      </c>
      <c r="J77" s="5" t="s">
        <v>58</v>
      </c>
      <c r="K77" s="6" t="s">
        <v>36</v>
      </c>
    </row>
    <row r="78" spans="1:11" x14ac:dyDescent="0.2">
      <c r="A78" s="8" t="s">
        <v>325</v>
      </c>
      <c r="B78" s="8" t="s">
        <v>326</v>
      </c>
      <c r="C78" s="8" t="s">
        <v>86</v>
      </c>
      <c r="D78" s="8" t="s">
        <v>41</v>
      </c>
      <c r="E78" s="8" t="s">
        <v>63</v>
      </c>
      <c r="F78" s="8" t="s">
        <v>91</v>
      </c>
      <c r="G78" s="8" t="s">
        <v>43</v>
      </c>
      <c r="H78" s="8" t="s">
        <v>21</v>
      </c>
      <c r="I78" s="8" t="s">
        <v>22</v>
      </c>
      <c r="J78" s="8" t="s">
        <v>150</v>
      </c>
      <c r="K78" s="9" t="s">
        <v>260</v>
      </c>
    </row>
    <row r="79" spans="1:11" x14ac:dyDescent="0.2">
      <c r="A79" s="5" t="s">
        <v>13</v>
      </c>
      <c r="B79" s="5" t="s">
        <v>14</v>
      </c>
      <c r="C79" s="5" t="s">
        <v>16</v>
      </c>
      <c r="D79" s="5" t="s">
        <v>17</v>
      </c>
      <c r="E79" s="5" t="s">
        <v>18</v>
      </c>
      <c r="F79" s="5" t="s">
        <v>19</v>
      </c>
      <c r="G79" s="5" t="s">
        <v>20</v>
      </c>
      <c r="H79" s="5" t="s">
        <v>21</v>
      </c>
      <c r="I79" s="5" t="s">
        <v>22</v>
      </c>
      <c r="J79" s="5" t="s">
        <v>23</v>
      </c>
      <c r="K79" s="6" t="s">
        <v>24</v>
      </c>
    </row>
    <row r="80" spans="1:11" x14ac:dyDescent="0.2">
      <c r="A80" s="8" t="s">
        <v>248</v>
      </c>
      <c r="B80" s="8" t="s">
        <v>249</v>
      </c>
      <c r="C80" s="8" t="s">
        <v>48</v>
      </c>
      <c r="D80" s="8" t="s">
        <v>41</v>
      </c>
      <c r="E80" s="8" t="s">
        <v>63</v>
      </c>
      <c r="F80" s="8" t="s">
        <v>101</v>
      </c>
      <c r="G80" s="8" t="s">
        <v>251</v>
      </c>
      <c r="H80" s="8" t="s">
        <v>146</v>
      </c>
      <c r="I80" s="8" t="s">
        <v>92</v>
      </c>
      <c r="J80" s="8" t="s">
        <v>150</v>
      </c>
      <c r="K80" s="9" t="s">
        <v>94</v>
      </c>
    </row>
    <row r="81" spans="1:11" x14ac:dyDescent="0.2">
      <c r="A81" s="5" t="s">
        <v>277</v>
      </c>
      <c r="B81" s="5" t="s">
        <v>278</v>
      </c>
      <c r="C81" s="5" t="s">
        <v>62</v>
      </c>
      <c r="D81" s="5" t="s">
        <v>41</v>
      </c>
      <c r="E81" s="5" t="s">
        <v>56</v>
      </c>
      <c r="F81" s="5" t="s">
        <v>259</v>
      </c>
      <c r="G81" s="5" t="s">
        <v>32</v>
      </c>
      <c r="H81" s="5" t="s">
        <v>21</v>
      </c>
      <c r="I81" s="5" t="s">
        <v>92</v>
      </c>
      <c r="J81" s="5" t="s">
        <v>93</v>
      </c>
      <c r="K81" s="6" t="s">
        <v>260</v>
      </c>
    </row>
    <row r="82" spans="1:11" x14ac:dyDescent="0.2">
      <c r="A82" s="8" t="s">
        <v>245</v>
      </c>
      <c r="B82" s="8" t="s">
        <v>246</v>
      </c>
      <c r="C82" s="8" t="s">
        <v>40</v>
      </c>
      <c r="D82" s="8" t="s">
        <v>41</v>
      </c>
      <c r="E82" s="8" t="s">
        <v>63</v>
      </c>
      <c r="F82" s="8" t="s">
        <v>57</v>
      </c>
      <c r="G82" s="8" t="s">
        <v>43</v>
      </c>
      <c r="H82" s="8" t="s">
        <v>33</v>
      </c>
      <c r="I82" s="8" t="s">
        <v>34</v>
      </c>
      <c r="J82" s="8" t="s">
        <v>23</v>
      </c>
      <c r="K82" s="9" t="s">
        <v>52</v>
      </c>
    </row>
    <row r="83" spans="1:11" x14ac:dyDescent="0.2">
      <c r="A83" s="5" t="s">
        <v>98</v>
      </c>
      <c r="B83" s="5" t="s">
        <v>99</v>
      </c>
      <c r="C83" s="5" t="s">
        <v>71</v>
      </c>
      <c r="D83" s="5" t="s">
        <v>41</v>
      </c>
      <c r="E83" s="5" t="s">
        <v>30</v>
      </c>
      <c r="F83" s="5" t="s">
        <v>101</v>
      </c>
      <c r="G83" s="5" t="s">
        <v>32</v>
      </c>
      <c r="H83" s="5" t="s">
        <v>33</v>
      </c>
      <c r="I83" s="5" t="s">
        <v>34</v>
      </c>
      <c r="J83" s="5" t="s">
        <v>35</v>
      </c>
      <c r="K83" s="6" t="s">
        <v>44</v>
      </c>
    </row>
    <row r="84" spans="1:11" x14ac:dyDescent="0.2">
      <c r="A84" s="8" t="s">
        <v>268</v>
      </c>
      <c r="B84" s="8" t="s">
        <v>269</v>
      </c>
      <c r="C84" s="8" t="s">
        <v>48</v>
      </c>
      <c r="D84" s="8" t="s">
        <v>267</v>
      </c>
      <c r="E84" s="8" t="s">
        <v>56</v>
      </c>
      <c r="F84" s="8" t="s">
        <v>57</v>
      </c>
      <c r="G84" s="8" t="s">
        <v>50</v>
      </c>
      <c r="H84" s="8" t="s">
        <v>72</v>
      </c>
      <c r="I84" s="8" t="s">
        <v>34</v>
      </c>
      <c r="J84" s="8" t="s">
        <v>58</v>
      </c>
      <c r="K84" s="9" t="s">
        <v>44</v>
      </c>
    </row>
    <row r="85" spans="1:11" x14ac:dyDescent="0.2">
      <c r="A85" s="8" t="s">
        <v>310</v>
      </c>
      <c r="B85" s="8" t="s">
        <v>311</v>
      </c>
      <c r="C85" s="8" t="s">
        <v>86</v>
      </c>
      <c r="D85" s="8" t="s">
        <v>49</v>
      </c>
      <c r="E85" s="8" t="s">
        <v>202</v>
      </c>
      <c r="F85" s="8" t="s">
        <v>101</v>
      </c>
      <c r="G85" s="8" t="s">
        <v>126</v>
      </c>
      <c r="H85" s="8" t="s">
        <v>51</v>
      </c>
      <c r="I85" s="8" t="s">
        <v>76</v>
      </c>
      <c r="J85" s="8" t="s">
        <v>93</v>
      </c>
      <c r="K85" s="9" t="s">
        <v>169</v>
      </c>
    </row>
    <row r="86" spans="1:11" x14ac:dyDescent="0.2">
      <c r="A86" s="5" t="s">
        <v>301</v>
      </c>
      <c r="B86" s="5" t="s">
        <v>302</v>
      </c>
      <c r="C86" s="5" t="s">
        <v>71</v>
      </c>
      <c r="D86" s="5" t="s">
        <v>29</v>
      </c>
      <c r="E86" s="5" t="s">
        <v>18</v>
      </c>
      <c r="F86" s="5" t="s">
        <v>31</v>
      </c>
      <c r="G86" s="5" t="s">
        <v>32</v>
      </c>
      <c r="H86" s="5" t="s">
        <v>33</v>
      </c>
      <c r="I86" s="5" t="s">
        <v>139</v>
      </c>
      <c r="J86" s="5" t="s">
        <v>23</v>
      </c>
      <c r="K86" s="6" t="s">
        <v>36</v>
      </c>
    </row>
    <row r="87" spans="1:11" x14ac:dyDescent="0.2">
      <c r="A87" s="11" t="s">
        <v>154</v>
      </c>
      <c r="B87" s="11" t="s">
        <v>155</v>
      </c>
      <c r="C87" s="11" t="s">
        <v>40</v>
      </c>
      <c r="D87" s="11" t="s">
        <v>41</v>
      </c>
      <c r="E87" s="11" t="s">
        <v>30</v>
      </c>
      <c r="F87" s="11" t="s">
        <v>31</v>
      </c>
      <c r="G87" s="11" t="s">
        <v>43</v>
      </c>
      <c r="H87" s="11" t="s">
        <v>33</v>
      </c>
      <c r="I87" s="11" t="s">
        <v>34</v>
      </c>
      <c r="J87" s="11" t="s">
        <v>58</v>
      </c>
      <c r="K87" s="12" t="s">
        <v>44</v>
      </c>
    </row>
  </sheetData>
  <autoFilter ref="A1:K97" xr:uid="{7A1E8CF2-FE7F-A846-AF71-B805D09C836D}">
    <sortState xmlns:xlrd2="http://schemas.microsoft.com/office/spreadsheetml/2017/richdata2" ref="A2:K97">
      <sortCondition ref="B1:B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7273-E76D-C542-9CBB-791CA2C51FB3}">
  <dimension ref="A1:B87"/>
  <sheetViews>
    <sheetView workbookViewId="0">
      <selection activeCell="D30" sqref="D30"/>
    </sheetView>
  </sheetViews>
  <sheetFormatPr defaultColWidth="11.42578125" defaultRowHeight="12.75" x14ac:dyDescent="0.2"/>
  <sheetData>
    <row r="1" spans="1:2" x14ac:dyDescent="0.2">
      <c r="A1" s="13" t="s">
        <v>348</v>
      </c>
      <c r="B1" s="13" t="s">
        <v>349</v>
      </c>
    </row>
    <row r="2" spans="1:2" x14ac:dyDescent="0.2">
      <c r="A2" s="8" t="s">
        <v>185</v>
      </c>
      <c r="B2" s="5" t="s">
        <v>185</v>
      </c>
    </row>
    <row r="3" spans="1:2" x14ac:dyDescent="0.2">
      <c r="A3" s="5" t="s">
        <v>118</v>
      </c>
      <c r="B3" s="8" t="s">
        <v>118</v>
      </c>
    </row>
    <row r="4" spans="1:2" x14ac:dyDescent="0.2">
      <c r="A4" s="8" t="s">
        <v>320</v>
      </c>
      <c r="B4" s="5" t="s">
        <v>320</v>
      </c>
    </row>
    <row r="5" spans="1:2" x14ac:dyDescent="0.2">
      <c r="A5" s="5" t="s">
        <v>329</v>
      </c>
      <c r="B5" s="8" t="s">
        <v>329</v>
      </c>
    </row>
    <row r="6" spans="1:2" x14ac:dyDescent="0.2">
      <c r="A6" s="8" t="s">
        <v>103</v>
      </c>
      <c r="B6" s="5" t="s">
        <v>103</v>
      </c>
    </row>
    <row r="7" spans="1:2" x14ac:dyDescent="0.2">
      <c r="A7" s="5" t="s">
        <v>26</v>
      </c>
      <c r="B7" s="5" t="s">
        <v>26</v>
      </c>
    </row>
    <row r="8" spans="1:2" x14ac:dyDescent="0.2">
      <c r="A8" s="8" t="s">
        <v>305</v>
      </c>
      <c r="B8" s="8" t="s">
        <v>305</v>
      </c>
    </row>
    <row r="9" spans="1:2" x14ac:dyDescent="0.2">
      <c r="A9" s="5" t="s">
        <v>60</v>
      </c>
      <c r="B9" s="5" t="s">
        <v>60</v>
      </c>
    </row>
    <row r="10" spans="1:2" x14ac:dyDescent="0.2">
      <c r="A10" s="8" t="s">
        <v>237</v>
      </c>
      <c r="B10" s="8" t="s">
        <v>237</v>
      </c>
    </row>
    <row r="11" spans="1:2" x14ac:dyDescent="0.2">
      <c r="A11" s="5" t="s">
        <v>54</v>
      </c>
      <c r="B11" s="8" t="s">
        <v>54</v>
      </c>
    </row>
    <row r="12" spans="1:2" x14ac:dyDescent="0.2">
      <c r="A12" s="5" t="s">
        <v>265</v>
      </c>
      <c r="B12" s="8" t="s">
        <v>265</v>
      </c>
    </row>
    <row r="13" spans="1:2" x14ac:dyDescent="0.2">
      <c r="A13" s="8" t="s">
        <v>46</v>
      </c>
      <c r="B13" s="5" t="s">
        <v>344</v>
      </c>
    </row>
    <row r="14" spans="1:2" x14ac:dyDescent="0.2">
      <c r="A14" s="5" t="s">
        <v>124</v>
      </c>
      <c r="B14" s="8" t="s">
        <v>124</v>
      </c>
    </row>
    <row r="15" spans="1:2" x14ac:dyDescent="0.2">
      <c r="A15" s="8" t="s">
        <v>256</v>
      </c>
      <c r="B15" s="5" t="s">
        <v>256</v>
      </c>
    </row>
    <row r="16" spans="1:2" x14ac:dyDescent="0.2">
      <c r="A16" s="5" t="s">
        <v>108</v>
      </c>
      <c r="B16" s="8" t="s">
        <v>108</v>
      </c>
    </row>
    <row r="17" spans="1:2" x14ac:dyDescent="0.2">
      <c r="A17" s="8" t="s">
        <v>78</v>
      </c>
      <c r="B17" s="5" t="s">
        <v>78</v>
      </c>
    </row>
    <row r="18" spans="1:2" x14ac:dyDescent="0.2">
      <c r="A18" s="5" t="s">
        <v>231</v>
      </c>
      <c r="B18" s="8" t="s">
        <v>231</v>
      </c>
    </row>
    <row r="19" spans="1:2" x14ac:dyDescent="0.2">
      <c r="A19" s="8" t="s">
        <v>287</v>
      </c>
      <c r="B19" s="5" t="s">
        <v>287</v>
      </c>
    </row>
    <row r="20" spans="1:2" x14ac:dyDescent="0.2">
      <c r="A20" s="5" t="s">
        <v>182</v>
      </c>
      <c r="B20" s="8" t="s">
        <v>182</v>
      </c>
    </row>
    <row r="21" spans="1:2" x14ac:dyDescent="0.2">
      <c r="A21" s="8" t="s">
        <v>253</v>
      </c>
      <c r="B21" s="5" t="s">
        <v>253</v>
      </c>
    </row>
    <row r="22" spans="1:2" x14ac:dyDescent="0.2">
      <c r="A22" s="5" t="s">
        <v>174</v>
      </c>
      <c r="B22" s="8" t="s">
        <v>174</v>
      </c>
    </row>
    <row r="23" spans="1:2" x14ac:dyDescent="0.2">
      <c r="A23" s="8" t="s">
        <v>96</v>
      </c>
      <c r="B23" s="5" t="s">
        <v>96</v>
      </c>
    </row>
    <row r="24" spans="1:2" x14ac:dyDescent="0.2">
      <c r="A24" s="5" t="s">
        <v>240</v>
      </c>
      <c r="B24" s="8" t="s">
        <v>240</v>
      </c>
    </row>
    <row r="25" spans="1:2" x14ac:dyDescent="0.2">
      <c r="A25" s="8" t="s">
        <v>243</v>
      </c>
      <c r="B25" s="5" t="s">
        <v>243</v>
      </c>
    </row>
    <row r="26" spans="1:2" x14ac:dyDescent="0.2">
      <c r="A26" s="5" t="s">
        <v>222</v>
      </c>
      <c r="B26" s="8" t="s">
        <v>222</v>
      </c>
    </row>
    <row r="27" spans="1:2" x14ac:dyDescent="0.2">
      <c r="A27" s="8" t="s">
        <v>225</v>
      </c>
      <c r="B27" s="5" t="s">
        <v>225</v>
      </c>
    </row>
    <row r="28" spans="1:2" x14ac:dyDescent="0.2">
      <c r="A28" s="5" t="s">
        <v>148</v>
      </c>
      <c r="B28" s="8" t="s">
        <v>148</v>
      </c>
    </row>
    <row r="29" spans="1:2" x14ac:dyDescent="0.2">
      <c r="A29" s="8" t="s">
        <v>188</v>
      </c>
      <c r="B29" s="5" t="s">
        <v>188</v>
      </c>
    </row>
    <row r="30" spans="1:2" x14ac:dyDescent="0.2">
      <c r="A30" s="5" t="s">
        <v>152</v>
      </c>
      <c r="B30" s="8" t="s">
        <v>152</v>
      </c>
    </row>
    <row r="31" spans="1:2" x14ac:dyDescent="0.2">
      <c r="A31" s="8" t="s">
        <v>194</v>
      </c>
      <c r="B31" s="5" t="s">
        <v>194</v>
      </c>
    </row>
    <row r="32" spans="1:2" x14ac:dyDescent="0.2">
      <c r="A32" s="5" t="s">
        <v>234</v>
      </c>
      <c r="B32" s="8" t="s">
        <v>234</v>
      </c>
    </row>
    <row r="33" spans="1:2" x14ac:dyDescent="0.2">
      <c r="A33" s="8" t="s">
        <v>219</v>
      </c>
      <c r="B33" s="5" t="s">
        <v>219</v>
      </c>
    </row>
    <row r="34" spans="1:2" x14ac:dyDescent="0.2">
      <c r="A34" s="5" t="s">
        <v>164</v>
      </c>
      <c r="B34" s="8" t="s">
        <v>164</v>
      </c>
    </row>
    <row r="35" spans="1:2" x14ac:dyDescent="0.2">
      <c r="A35" s="5" t="s">
        <v>115</v>
      </c>
      <c r="B35" s="8" t="s">
        <v>115</v>
      </c>
    </row>
    <row r="36" spans="1:2" x14ac:dyDescent="0.2">
      <c r="A36" s="8" t="s">
        <v>197</v>
      </c>
      <c r="B36" s="5" t="s">
        <v>197</v>
      </c>
    </row>
    <row r="37" spans="1:2" x14ac:dyDescent="0.2">
      <c r="A37" s="5" t="s">
        <v>323</v>
      </c>
      <c r="B37" s="8" t="s">
        <v>323</v>
      </c>
    </row>
    <row r="38" spans="1:2" x14ac:dyDescent="0.2">
      <c r="A38" s="8" t="s">
        <v>213</v>
      </c>
      <c r="B38" s="5" t="s">
        <v>213</v>
      </c>
    </row>
    <row r="39" spans="1:2" x14ac:dyDescent="0.2">
      <c r="A39" s="5" t="s">
        <v>74</v>
      </c>
      <c r="B39" s="8" t="s">
        <v>74</v>
      </c>
    </row>
    <row r="40" spans="1:2" x14ac:dyDescent="0.2">
      <c r="A40" s="8" t="s">
        <v>144</v>
      </c>
      <c r="B40" s="5" t="s">
        <v>346</v>
      </c>
    </row>
    <row r="41" spans="1:2" x14ac:dyDescent="0.2">
      <c r="A41" s="5" t="s">
        <v>131</v>
      </c>
      <c r="B41" s="8" t="s">
        <v>131</v>
      </c>
    </row>
    <row r="42" spans="1:2" x14ac:dyDescent="0.2">
      <c r="A42" s="8" t="s">
        <v>141</v>
      </c>
      <c r="B42" s="5" t="s">
        <v>345</v>
      </c>
    </row>
    <row r="43" spans="1:2" x14ac:dyDescent="0.2">
      <c r="A43" s="5" t="s">
        <v>137</v>
      </c>
      <c r="B43" s="8" t="s">
        <v>137</v>
      </c>
    </row>
    <row r="44" spans="1:2" x14ac:dyDescent="0.2">
      <c r="A44" s="8" t="s">
        <v>177</v>
      </c>
      <c r="B44" s="5" t="s">
        <v>177</v>
      </c>
    </row>
    <row r="45" spans="1:2" x14ac:dyDescent="0.2">
      <c r="A45" s="5" t="s">
        <v>342</v>
      </c>
      <c r="B45" s="8" t="s">
        <v>342</v>
      </c>
    </row>
    <row r="46" spans="1:2" x14ac:dyDescent="0.2">
      <c r="A46" s="8" t="s">
        <v>299</v>
      </c>
      <c r="B46" s="5" t="s">
        <v>299</v>
      </c>
    </row>
    <row r="47" spans="1:2" x14ac:dyDescent="0.2">
      <c r="A47" s="5" t="s">
        <v>332</v>
      </c>
      <c r="B47" s="8" t="s">
        <v>332</v>
      </c>
    </row>
    <row r="48" spans="1:2" x14ac:dyDescent="0.2">
      <c r="A48" s="8" t="s">
        <v>128</v>
      </c>
      <c r="B48" s="5" t="s">
        <v>128</v>
      </c>
    </row>
    <row r="49" spans="1:2" x14ac:dyDescent="0.2">
      <c r="A49" s="5" t="s">
        <v>210</v>
      </c>
      <c r="B49" s="8" t="s">
        <v>210</v>
      </c>
    </row>
    <row r="50" spans="1:2" x14ac:dyDescent="0.2">
      <c r="A50" s="8" t="s">
        <v>121</v>
      </c>
      <c r="B50" s="5" t="s">
        <v>121</v>
      </c>
    </row>
    <row r="51" spans="1:2" x14ac:dyDescent="0.2">
      <c r="A51" s="5" t="s">
        <v>88</v>
      </c>
      <c r="B51" s="8" t="s">
        <v>88</v>
      </c>
    </row>
    <row r="52" spans="1:2" x14ac:dyDescent="0.2">
      <c r="A52" s="8" t="s">
        <v>69</v>
      </c>
      <c r="B52" s="5" t="s">
        <v>69</v>
      </c>
    </row>
    <row r="53" spans="1:2" x14ac:dyDescent="0.2">
      <c r="A53" s="5" t="s">
        <v>308</v>
      </c>
      <c r="B53" s="8" t="s">
        <v>308</v>
      </c>
    </row>
    <row r="54" spans="1:2" x14ac:dyDescent="0.2">
      <c r="A54" s="8" t="s">
        <v>317</v>
      </c>
      <c r="B54" s="5" t="s">
        <v>317</v>
      </c>
    </row>
    <row r="55" spans="1:2" x14ac:dyDescent="0.2">
      <c r="A55" s="5" t="s">
        <v>275</v>
      </c>
      <c r="B55" s="8" t="s">
        <v>275</v>
      </c>
    </row>
    <row r="56" spans="1:2" x14ac:dyDescent="0.2">
      <c r="A56" s="8" t="s">
        <v>84</v>
      </c>
      <c r="B56" s="8" t="s">
        <v>84</v>
      </c>
    </row>
    <row r="57" spans="1:2" x14ac:dyDescent="0.2">
      <c r="A57" s="5" t="s">
        <v>191</v>
      </c>
      <c r="B57" s="5" t="s">
        <v>191</v>
      </c>
    </row>
    <row r="58" spans="1:2" x14ac:dyDescent="0.2">
      <c r="A58" s="8" t="s">
        <v>38</v>
      </c>
      <c r="B58" s="8" t="s">
        <v>38</v>
      </c>
    </row>
    <row r="59" spans="1:2" x14ac:dyDescent="0.2">
      <c r="A59" s="5" t="s">
        <v>296</v>
      </c>
      <c r="B59" s="5" t="s">
        <v>296</v>
      </c>
    </row>
    <row r="60" spans="1:2" x14ac:dyDescent="0.2">
      <c r="A60" s="8" t="s">
        <v>272</v>
      </c>
      <c r="B60" s="8" t="s">
        <v>272</v>
      </c>
    </row>
    <row r="61" spans="1:2" x14ac:dyDescent="0.2">
      <c r="A61" s="5" t="s">
        <v>200</v>
      </c>
      <c r="B61" s="5" t="s">
        <v>200</v>
      </c>
    </row>
    <row r="62" spans="1:2" x14ac:dyDescent="0.2">
      <c r="A62" s="8" t="s">
        <v>204</v>
      </c>
      <c r="B62" s="8" t="s">
        <v>204</v>
      </c>
    </row>
    <row r="63" spans="1:2" x14ac:dyDescent="0.2">
      <c r="A63" s="5" t="s">
        <v>262</v>
      </c>
      <c r="B63" s="5" t="s">
        <v>262</v>
      </c>
    </row>
    <row r="64" spans="1:2" x14ac:dyDescent="0.2">
      <c r="A64" s="8" t="s">
        <v>167</v>
      </c>
      <c r="B64" s="8" t="s">
        <v>167</v>
      </c>
    </row>
    <row r="65" spans="1:2" x14ac:dyDescent="0.2">
      <c r="A65" s="5" t="s">
        <v>281</v>
      </c>
      <c r="B65" s="5" t="s">
        <v>281</v>
      </c>
    </row>
    <row r="66" spans="1:2" x14ac:dyDescent="0.2">
      <c r="A66" s="8" t="s">
        <v>134</v>
      </c>
      <c r="B66" s="5" t="s">
        <v>134</v>
      </c>
    </row>
    <row r="67" spans="1:2" x14ac:dyDescent="0.2">
      <c r="A67" s="5" t="s">
        <v>314</v>
      </c>
      <c r="B67" s="8" t="s">
        <v>347</v>
      </c>
    </row>
    <row r="68" spans="1:2" x14ac:dyDescent="0.2">
      <c r="A68" s="8" t="s">
        <v>158</v>
      </c>
      <c r="B68" s="5" t="s">
        <v>158</v>
      </c>
    </row>
    <row r="69" spans="1:2" x14ac:dyDescent="0.2">
      <c r="A69" s="5" t="s">
        <v>161</v>
      </c>
      <c r="B69" s="8" t="s">
        <v>161</v>
      </c>
    </row>
    <row r="70" spans="1:2" x14ac:dyDescent="0.2">
      <c r="A70" s="8" t="s">
        <v>284</v>
      </c>
      <c r="B70" s="5" t="s">
        <v>284</v>
      </c>
    </row>
    <row r="71" spans="1:2" x14ac:dyDescent="0.2">
      <c r="A71" s="5" t="s">
        <v>171</v>
      </c>
      <c r="B71" s="8" t="s">
        <v>171</v>
      </c>
    </row>
    <row r="72" spans="1:2" x14ac:dyDescent="0.2">
      <c r="A72" s="8" t="s">
        <v>339</v>
      </c>
      <c r="B72" s="8" t="s">
        <v>339</v>
      </c>
    </row>
    <row r="73" spans="1:2" x14ac:dyDescent="0.2">
      <c r="A73" s="5" t="s">
        <v>81</v>
      </c>
      <c r="B73" s="5" t="s">
        <v>81</v>
      </c>
    </row>
    <row r="74" spans="1:2" x14ac:dyDescent="0.2">
      <c r="A74" s="8" t="s">
        <v>66</v>
      </c>
      <c r="B74" s="5" t="s">
        <v>66</v>
      </c>
    </row>
    <row r="75" spans="1:2" x14ac:dyDescent="0.2">
      <c r="A75" s="5" t="s">
        <v>293</v>
      </c>
      <c r="B75" s="8" t="s">
        <v>293</v>
      </c>
    </row>
    <row r="76" spans="1:2" x14ac:dyDescent="0.2">
      <c r="A76" s="8" t="s">
        <v>335</v>
      </c>
      <c r="B76" s="5" t="s">
        <v>335</v>
      </c>
    </row>
    <row r="77" spans="1:2" x14ac:dyDescent="0.2">
      <c r="A77" s="5" t="s">
        <v>290</v>
      </c>
      <c r="B77" s="5" t="s">
        <v>290</v>
      </c>
    </row>
    <row r="78" spans="1:2" x14ac:dyDescent="0.2">
      <c r="A78" s="8" t="s">
        <v>326</v>
      </c>
      <c r="B78" s="8" t="s">
        <v>326</v>
      </c>
    </row>
    <row r="79" spans="1:2" x14ac:dyDescent="0.2">
      <c r="A79" s="5" t="s">
        <v>14</v>
      </c>
      <c r="B79" s="5" t="s">
        <v>14</v>
      </c>
    </row>
    <row r="80" spans="1:2" x14ac:dyDescent="0.2">
      <c r="A80" s="8" t="s">
        <v>249</v>
      </c>
      <c r="B80" s="8" t="s">
        <v>249</v>
      </c>
    </row>
    <row r="81" spans="1:2" x14ac:dyDescent="0.2">
      <c r="A81" s="5" t="s">
        <v>278</v>
      </c>
      <c r="B81" s="8" t="s">
        <v>278</v>
      </c>
    </row>
    <row r="82" spans="1:2" x14ac:dyDescent="0.2">
      <c r="A82" s="8" t="s">
        <v>246</v>
      </c>
      <c r="B82" s="5" t="s">
        <v>246</v>
      </c>
    </row>
    <row r="83" spans="1:2" x14ac:dyDescent="0.2">
      <c r="A83" s="5" t="s">
        <v>99</v>
      </c>
      <c r="B83" s="8" t="s">
        <v>99</v>
      </c>
    </row>
    <row r="84" spans="1:2" x14ac:dyDescent="0.2">
      <c r="A84" s="8" t="s">
        <v>269</v>
      </c>
      <c r="B84" s="5" t="s">
        <v>269</v>
      </c>
    </row>
    <row r="85" spans="1:2" x14ac:dyDescent="0.2">
      <c r="A85" s="8" t="s">
        <v>311</v>
      </c>
      <c r="B85" s="8" t="s">
        <v>311</v>
      </c>
    </row>
    <row r="86" spans="1:2" x14ac:dyDescent="0.2">
      <c r="A86" s="5" t="s">
        <v>302</v>
      </c>
      <c r="B86" s="5" t="s">
        <v>302</v>
      </c>
    </row>
    <row r="87" spans="1:2" x14ac:dyDescent="0.2">
      <c r="A87" s="11" t="s">
        <v>155</v>
      </c>
      <c r="B87" s="11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4596-4F01-744F-8E67-A5CA946377AA}">
  <dimension ref="A1:K176"/>
  <sheetViews>
    <sheetView topLeftCell="A59" workbookViewId="0">
      <selection activeCell="C91" sqref="C91"/>
    </sheetView>
  </sheetViews>
  <sheetFormatPr defaultColWidth="11.42578125" defaultRowHeight="12.75" x14ac:dyDescent="0.2"/>
  <cols>
    <col min="1" max="2" width="18.85546875" customWidth="1"/>
    <col min="3" max="11" width="37.7109375" customWidth="1"/>
  </cols>
  <sheetData>
    <row r="1" spans="1:11" x14ac:dyDescent="0.2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12</v>
      </c>
    </row>
    <row r="2" spans="1:11" x14ac:dyDescent="0.2">
      <c r="A2" s="8" t="s">
        <v>184</v>
      </c>
      <c r="B2" s="8" t="s">
        <v>185</v>
      </c>
      <c r="C2" s="8" t="s">
        <v>48</v>
      </c>
      <c r="D2" s="8" t="s">
        <v>29</v>
      </c>
      <c r="E2" s="8" t="s">
        <v>63</v>
      </c>
      <c r="F2" s="8" t="s">
        <v>31</v>
      </c>
      <c r="G2" s="8" t="s">
        <v>43</v>
      </c>
      <c r="H2" s="8" t="s">
        <v>33</v>
      </c>
      <c r="I2" s="8" t="s">
        <v>34</v>
      </c>
      <c r="J2" s="8" t="s">
        <v>58</v>
      </c>
      <c r="K2" s="9" t="s">
        <v>36</v>
      </c>
    </row>
    <row r="3" spans="1:11" x14ac:dyDescent="0.2">
      <c r="A3" s="5" t="s">
        <v>117</v>
      </c>
      <c r="B3" s="5" t="s">
        <v>118</v>
      </c>
      <c r="C3" s="5" t="s">
        <v>71</v>
      </c>
      <c r="D3" s="5" t="s">
        <v>41</v>
      </c>
      <c r="E3" s="5" t="s">
        <v>56</v>
      </c>
      <c r="F3" s="5" t="s">
        <v>57</v>
      </c>
      <c r="G3" s="5" t="s">
        <v>50</v>
      </c>
      <c r="H3" s="5" t="s">
        <v>33</v>
      </c>
      <c r="I3" s="5" t="s">
        <v>64</v>
      </c>
      <c r="J3" s="5" t="s">
        <v>23</v>
      </c>
      <c r="K3" s="6" t="s">
        <v>94</v>
      </c>
    </row>
    <row r="4" spans="1:11" x14ac:dyDescent="0.2">
      <c r="A4" s="8" t="s">
        <v>319</v>
      </c>
      <c r="B4" s="8" t="s">
        <v>320</v>
      </c>
      <c r="C4" s="8" t="s">
        <v>62</v>
      </c>
      <c r="D4" s="8" t="s">
        <v>17</v>
      </c>
      <c r="E4" s="8" t="s">
        <v>63</v>
      </c>
      <c r="F4" s="8" t="s">
        <v>31</v>
      </c>
      <c r="G4" s="8" t="s">
        <v>32</v>
      </c>
      <c r="H4" s="8" t="s">
        <v>72</v>
      </c>
      <c r="I4" s="8" t="s">
        <v>64</v>
      </c>
      <c r="J4" s="8" t="s">
        <v>35</v>
      </c>
      <c r="K4" s="9" t="s">
        <v>36</v>
      </c>
    </row>
    <row r="5" spans="1:11" x14ac:dyDescent="0.2">
      <c r="A5" s="5" t="s">
        <v>328</v>
      </c>
      <c r="B5" s="5" t="s">
        <v>329</v>
      </c>
      <c r="C5" s="5" t="s">
        <v>71</v>
      </c>
      <c r="D5" s="5" t="s">
        <v>29</v>
      </c>
      <c r="E5" s="5" t="s">
        <v>56</v>
      </c>
      <c r="F5" s="5" t="s">
        <v>31</v>
      </c>
      <c r="G5" s="5" t="s">
        <v>32</v>
      </c>
      <c r="H5" s="5" t="s">
        <v>21</v>
      </c>
      <c r="I5" s="5" t="s">
        <v>64</v>
      </c>
      <c r="J5" s="5" t="s">
        <v>35</v>
      </c>
      <c r="K5" s="6" t="s">
        <v>44</v>
      </c>
    </row>
    <row r="6" spans="1:11" x14ac:dyDescent="0.2">
      <c r="A6" s="8" t="s">
        <v>102</v>
      </c>
      <c r="B6" s="8" t="s">
        <v>103</v>
      </c>
      <c r="C6" s="8" t="s">
        <v>48</v>
      </c>
      <c r="D6" s="8" t="s">
        <v>105</v>
      </c>
      <c r="E6" s="8" t="s">
        <v>30</v>
      </c>
      <c r="F6" s="8" t="s">
        <v>101</v>
      </c>
      <c r="G6" s="8" t="s">
        <v>50</v>
      </c>
      <c r="H6" s="8" t="s">
        <v>72</v>
      </c>
      <c r="I6" s="8" t="s">
        <v>22</v>
      </c>
      <c r="J6" s="8" t="s">
        <v>106</v>
      </c>
      <c r="K6" s="9" t="s">
        <v>44</v>
      </c>
    </row>
    <row r="7" spans="1:11" x14ac:dyDescent="0.2">
      <c r="A7" s="5" t="s">
        <v>25</v>
      </c>
      <c r="B7" s="5" t="s">
        <v>26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6" t="s">
        <v>36</v>
      </c>
    </row>
    <row r="8" spans="1:11" x14ac:dyDescent="0.2">
      <c r="A8" s="8" t="s">
        <v>304</v>
      </c>
      <c r="B8" s="8" t="s">
        <v>305</v>
      </c>
      <c r="C8" s="8" t="s">
        <v>71</v>
      </c>
      <c r="D8" s="8" t="s">
        <v>17</v>
      </c>
      <c r="E8" s="8" t="s">
        <v>30</v>
      </c>
      <c r="F8" s="8" t="s">
        <v>101</v>
      </c>
      <c r="G8" s="8" t="s">
        <v>32</v>
      </c>
      <c r="H8" s="8" t="s">
        <v>33</v>
      </c>
      <c r="I8" s="8" t="s">
        <v>64</v>
      </c>
      <c r="J8" s="8" t="s">
        <v>23</v>
      </c>
      <c r="K8" s="9" t="s">
        <v>52</v>
      </c>
    </row>
    <row r="9" spans="1:11" x14ac:dyDescent="0.2">
      <c r="A9" s="5" t="s">
        <v>59</v>
      </c>
      <c r="B9" s="5" t="s">
        <v>60</v>
      </c>
      <c r="C9" s="5" t="s">
        <v>62</v>
      </c>
      <c r="D9" s="5" t="s">
        <v>41</v>
      </c>
      <c r="E9" s="5" t="s">
        <v>63</v>
      </c>
      <c r="F9" s="5" t="s">
        <v>31</v>
      </c>
      <c r="G9" s="5" t="s">
        <v>43</v>
      </c>
      <c r="H9" s="5" t="s">
        <v>21</v>
      </c>
      <c r="I9" s="5" t="s">
        <v>64</v>
      </c>
      <c r="J9" s="5" t="s">
        <v>35</v>
      </c>
      <c r="K9" s="6" t="s">
        <v>44</v>
      </c>
    </row>
    <row r="10" spans="1:11" x14ac:dyDescent="0.2">
      <c r="A10" s="8" t="s">
        <v>236</v>
      </c>
      <c r="B10" s="8" t="s">
        <v>237</v>
      </c>
      <c r="C10" s="8" t="s">
        <v>62</v>
      </c>
      <c r="D10" s="8" t="s">
        <v>29</v>
      </c>
      <c r="E10" s="8" t="s">
        <v>202</v>
      </c>
      <c r="F10" s="8" t="s">
        <v>42</v>
      </c>
      <c r="G10" s="8" t="s">
        <v>20</v>
      </c>
      <c r="H10" s="8" t="s">
        <v>146</v>
      </c>
      <c r="I10" s="8" t="s">
        <v>76</v>
      </c>
      <c r="J10" s="8" t="s">
        <v>23</v>
      </c>
      <c r="K10" s="9" t="s">
        <v>169</v>
      </c>
    </row>
    <row r="11" spans="1:11" x14ac:dyDescent="0.2">
      <c r="A11" s="5" t="s">
        <v>53</v>
      </c>
      <c r="B11" s="5" t="s">
        <v>54</v>
      </c>
      <c r="C11" s="5" t="s">
        <v>28</v>
      </c>
      <c r="D11" s="5" t="s">
        <v>41</v>
      </c>
      <c r="E11" s="5" t="s">
        <v>56</v>
      </c>
      <c r="F11" s="5" t="s">
        <v>57</v>
      </c>
      <c r="G11" s="5" t="s">
        <v>32</v>
      </c>
      <c r="H11" s="5" t="s">
        <v>33</v>
      </c>
      <c r="I11" s="5" t="s">
        <v>34</v>
      </c>
      <c r="J11" s="5" t="s">
        <v>58</v>
      </c>
      <c r="K11" s="6" t="s">
        <v>44</v>
      </c>
    </row>
    <row r="12" spans="1:11" x14ac:dyDescent="0.2">
      <c r="A12" s="5" t="s">
        <v>264</v>
      </c>
      <c r="B12" s="5" t="s">
        <v>265</v>
      </c>
      <c r="C12" s="5" t="s">
        <v>86</v>
      </c>
      <c r="D12" s="5" t="s">
        <v>267</v>
      </c>
      <c r="E12" s="5" t="s">
        <v>63</v>
      </c>
      <c r="F12" s="5" t="s">
        <v>19</v>
      </c>
      <c r="G12" s="5" t="s">
        <v>43</v>
      </c>
      <c r="H12" s="5" t="s">
        <v>72</v>
      </c>
      <c r="I12" s="5" t="s">
        <v>76</v>
      </c>
      <c r="J12" s="5" t="s">
        <v>58</v>
      </c>
      <c r="K12" s="6" t="s">
        <v>94</v>
      </c>
    </row>
    <row r="13" spans="1:11" x14ac:dyDescent="0.2">
      <c r="A13" s="8" t="s">
        <v>45</v>
      </c>
      <c r="B13" s="8" t="s">
        <v>46</v>
      </c>
      <c r="C13" s="8" t="s">
        <v>48</v>
      </c>
      <c r="D13" s="8" t="s">
        <v>49</v>
      </c>
      <c r="E13" s="8" t="s">
        <v>18</v>
      </c>
      <c r="F13" s="8" t="s">
        <v>19</v>
      </c>
      <c r="G13" s="8" t="s">
        <v>50</v>
      </c>
      <c r="H13" s="8" t="s">
        <v>51</v>
      </c>
      <c r="I13" s="8" t="s">
        <v>22</v>
      </c>
      <c r="J13" s="8" t="s">
        <v>23</v>
      </c>
      <c r="K13" s="9" t="s">
        <v>52</v>
      </c>
    </row>
    <row r="14" spans="1:11" x14ac:dyDescent="0.2">
      <c r="A14" s="5" t="s">
        <v>123</v>
      </c>
      <c r="B14" s="5" t="s">
        <v>124</v>
      </c>
      <c r="C14" s="5" t="s">
        <v>48</v>
      </c>
      <c r="D14" s="5" t="s">
        <v>41</v>
      </c>
      <c r="E14" s="5" t="s">
        <v>63</v>
      </c>
      <c r="F14" s="5" t="s">
        <v>31</v>
      </c>
      <c r="G14" s="5" t="s">
        <v>126</v>
      </c>
      <c r="H14" s="5" t="s">
        <v>72</v>
      </c>
      <c r="I14" s="5" t="s">
        <v>64</v>
      </c>
      <c r="J14" s="5" t="s">
        <v>35</v>
      </c>
      <c r="K14" s="6" t="s">
        <v>44</v>
      </c>
    </row>
    <row r="15" spans="1:11" x14ac:dyDescent="0.2">
      <c r="A15" s="8" t="s">
        <v>255</v>
      </c>
      <c r="B15" s="8" t="s">
        <v>256</v>
      </c>
      <c r="C15" s="8" t="s">
        <v>28</v>
      </c>
      <c r="D15" s="8" t="s">
        <v>49</v>
      </c>
      <c r="E15" s="8" t="s">
        <v>258</v>
      </c>
      <c r="F15" s="8" t="s">
        <v>259</v>
      </c>
      <c r="G15" s="8" t="s">
        <v>50</v>
      </c>
      <c r="H15" s="8" t="s">
        <v>21</v>
      </c>
      <c r="I15" s="8" t="s">
        <v>139</v>
      </c>
      <c r="J15" s="8" t="s">
        <v>23</v>
      </c>
      <c r="K15" s="9" t="s">
        <v>260</v>
      </c>
    </row>
    <row r="16" spans="1:11" x14ac:dyDescent="0.2">
      <c r="A16" s="5" t="s">
        <v>107</v>
      </c>
      <c r="B16" s="5" t="s">
        <v>108</v>
      </c>
      <c r="C16" s="5" t="s">
        <v>28</v>
      </c>
      <c r="D16" s="5" t="s">
        <v>29</v>
      </c>
      <c r="E16" s="5" t="s">
        <v>63</v>
      </c>
      <c r="F16" s="5" t="s">
        <v>101</v>
      </c>
      <c r="G16" s="5" t="s">
        <v>20</v>
      </c>
      <c r="H16" s="5" t="s">
        <v>110</v>
      </c>
      <c r="I16" s="5" t="s">
        <v>92</v>
      </c>
      <c r="J16" s="5" t="s">
        <v>23</v>
      </c>
      <c r="K16" s="6" t="s">
        <v>24</v>
      </c>
    </row>
    <row r="17" spans="1:11" x14ac:dyDescent="0.2">
      <c r="A17" s="8" t="s">
        <v>77</v>
      </c>
      <c r="B17" s="8" t="s">
        <v>78</v>
      </c>
      <c r="C17" s="8" t="s">
        <v>71</v>
      </c>
      <c r="D17" s="8" t="s">
        <v>41</v>
      </c>
      <c r="E17" s="8" t="s">
        <v>18</v>
      </c>
      <c r="F17" s="8" t="s">
        <v>19</v>
      </c>
      <c r="G17" s="8" t="s">
        <v>50</v>
      </c>
      <c r="H17" s="8" t="s">
        <v>21</v>
      </c>
      <c r="I17" s="8" t="s">
        <v>64</v>
      </c>
      <c r="J17" s="8" t="s">
        <v>35</v>
      </c>
      <c r="K17" s="9" t="s">
        <v>52</v>
      </c>
    </row>
    <row r="18" spans="1:11" x14ac:dyDescent="0.2">
      <c r="A18" s="5" t="s">
        <v>230</v>
      </c>
      <c r="B18" s="5" t="s">
        <v>231</v>
      </c>
      <c r="C18" s="5" t="s">
        <v>71</v>
      </c>
      <c r="D18" s="5" t="s">
        <v>49</v>
      </c>
      <c r="E18" s="5" t="s">
        <v>63</v>
      </c>
      <c r="F18" s="5" t="s">
        <v>31</v>
      </c>
      <c r="G18" s="5" t="s">
        <v>43</v>
      </c>
      <c r="H18" s="5" t="s">
        <v>33</v>
      </c>
      <c r="I18" s="5" t="s">
        <v>64</v>
      </c>
      <c r="J18" s="5" t="s">
        <v>23</v>
      </c>
      <c r="K18" s="6" t="s">
        <v>52</v>
      </c>
    </row>
    <row r="19" spans="1:11" x14ac:dyDescent="0.2">
      <c r="A19" s="8" t="s">
        <v>286</v>
      </c>
      <c r="B19" s="8" t="s">
        <v>287</v>
      </c>
      <c r="C19" s="8" t="s">
        <v>40</v>
      </c>
      <c r="D19" s="8" t="s">
        <v>29</v>
      </c>
      <c r="E19" s="8" t="s">
        <v>30</v>
      </c>
      <c r="F19" s="8" t="s">
        <v>57</v>
      </c>
      <c r="G19" s="8" t="s">
        <v>32</v>
      </c>
      <c r="H19" s="8" t="s">
        <v>33</v>
      </c>
      <c r="I19" s="8" t="s">
        <v>139</v>
      </c>
      <c r="J19" s="8" t="s">
        <v>58</v>
      </c>
      <c r="K19" s="9" t="s">
        <v>36</v>
      </c>
    </row>
    <row r="20" spans="1:11" x14ac:dyDescent="0.2">
      <c r="A20" s="5" t="s">
        <v>181</v>
      </c>
      <c r="B20" s="5" t="s">
        <v>182</v>
      </c>
      <c r="C20" s="5" t="s">
        <v>71</v>
      </c>
      <c r="D20" s="5" t="s">
        <v>49</v>
      </c>
      <c r="E20" s="5" t="s">
        <v>56</v>
      </c>
      <c r="F20" s="5" t="s">
        <v>31</v>
      </c>
      <c r="G20" s="5" t="s">
        <v>32</v>
      </c>
      <c r="H20" s="5" t="s">
        <v>72</v>
      </c>
      <c r="I20" s="5" t="s">
        <v>34</v>
      </c>
      <c r="J20" s="5" t="s">
        <v>58</v>
      </c>
      <c r="K20" s="6" t="s">
        <v>44</v>
      </c>
    </row>
    <row r="21" spans="1:11" x14ac:dyDescent="0.2">
      <c r="A21" s="8" t="s">
        <v>252</v>
      </c>
      <c r="B21" s="8" t="s">
        <v>253</v>
      </c>
      <c r="C21" s="8" t="s">
        <v>71</v>
      </c>
      <c r="D21" s="8" t="s">
        <v>41</v>
      </c>
      <c r="E21" s="8" t="s">
        <v>63</v>
      </c>
      <c r="F21" s="8" t="s">
        <v>57</v>
      </c>
      <c r="G21" s="8" t="s">
        <v>50</v>
      </c>
      <c r="H21" s="8" t="s">
        <v>21</v>
      </c>
      <c r="I21" s="8" t="s">
        <v>64</v>
      </c>
      <c r="J21" s="8" t="s">
        <v>23</v>
      </c>
      <c r="K21" s="9" t="s">
        <v>44</v>
      </c>
    </row>
    <row r="22" spans="1:11" x14ac:dyDescent="0.2">
      <c r="A22" s="5" t="s">
        <v>173</v>
      </c>
      <c r="B22" s="5" t="s">
        <v>174</v>
      </c>
      <c r="C22" s="5" t="s">
        <v>71</v>
      </c>
      <c r="D22" s="5" t="s">
        <v>29</v>
      </c>
      <c r="E22" s="5" t="s">
        <v>56</v>
      </c>
      <c r="F22" s="5" t="s">
        <v>31</v>
      </c>
      <c r="G22" s="5" t="s">
        <v>43</v>
      </c>
      <c r="H22" s="5" t="s">
        <v>33</v>
      </c>
      <c r="I22" s="5" t="s">
        <v>34</v>
      </c>
      <c r="J22" s="5" t="s">
        <v>23</v>
      </c>
      <c r="K22" s="6" t="s">
        <v>44</v>
      </c>
    </row>
    <row r="23" spans="1:11" x14ac:dyDescent="0.2">
      <c r="A23" s="8" t="s">
        <v>95</v>
      </c>
      <c r="B23" s="8" t="s">
        <v>96</v>
      </c>
      <c r="C23" s="8" t="s">
        <v>62</v>
      </c>
      <c r="D23" s="8" t="s">
        <v>41</v>
      </c>
      <c r="E23" s="8" t="s">
        <v>63</v>
      </c>
      <c r="F23" s="8" t="s">
        <v>31</v>
      </c>
      <c r="G23" s="8" t="s">
        <v>20</v>
      </c>
      <c r="H23" s="8" t="s">
        <v>21</v>
      </c>
      <c r="I23" s="8" t="s">
        <v>64</v>
      </c>
      <c r="J23" s="8" t="s">
        <v>23</v>
      </c>
      <c r="K23" s="9" t="s">
        <v>52</v>
      </c>
    </row>
    <row r="24" spans="1:11" x14ac:dyDescent="0.2">
      <c r="A24" s="5" t="s">
        <v>239</v>
      </c>
      <c r="B24" s="5" t="s">
        <v>240</v>
      </c>
      <c r="C24" s="5" t="s">
        <v>71</v>
      </c>
      <c r="D24" s="5" t="s">
        <v>29</v>
      </c>
      <c r="E24" s="5" t="s">
        <v>63</v>
      </c>
      <c r="F24" s="5" t="s">
        <v>101</v>
      </c>
      <c r="G24" s="5" t="s">
        <v>43</v>
      </c>
      <c r="H24" s="5" t="s">
        <v>72</v>
      </c>
      <c r="I24" s="5" t="s">
        <v>34</v>
      </c>
      <c r="J24" s="5" t="s">
        <v>23</v>
      </c>
      <c r="K24" s="6" t="s">
        <v>44</v>
      </c>
    </row>
    <row r="25" spans="1:11" x14ac:dyDescent="0.2">
      <c r="A25" s="8" t="s">
        <v>242</v>
      </c>
      <c r="B25" s="8" t="s">
        <v>243</v>
      </c>
      <c r="C25" s="8" t="s">
        <v>28</v>
      </c>
      <c r="D25" s="8" t="s">
        <v>105</v>
      </c>
      <c r="E25" s="8" t="s">
        <v>30</v>
      </c>
      <c r="F25" s="8" t="s">
        <v>31</v>
      </c>
      <c r="G25" s="8" t="s">
        <v>50</v>
      </c>
      <c r="H25" s="8" t="s">
        <v>33</v>
      </c>
      <c r="I25" s="8" t="s">
        <v>139</v>
      </c>
      <c r="J25" s="8" t="s">
        <v>58</v>
      </c>
      <c r="K25" s="9" t="s">
        <v>36</v>
      </c>
    </row>
    <row r="26" spans="1:11" x14ac:dyDescent="0.2">
      <c r="A26" s="5" t="s">
        <v>221</v>
      </c>
      <c r="B26" s="5" t="s">
        <v>222</v>
      </c>
      <c r="C26" s="5" t="s">
        <v>71</v>
      </c>
      <c r="D26" s="5" t="s">
        <v>41</v>
      </c>
      <c r="E26" s="5" t="s">
        <v>63</v>
      </c>
      <c r="F26" s="5" t="s">
        <v>101</v>
      </c>
      <c r="G26" s="5" t="s">
        <v>50</v>
      </c>
      <c r="H26" s="5" t="s">
        <v>72</v>
      </c>
      <c r="I26" s="5" t="s">
        <v>34</v>
      </c>
      <c r="J26" s="5" t="s">
        <v>58</v>
      </c>
      <c r="K26" s="6" t="s">
        <v>44</v>
      </c>
    </row>
    <row r="27" spans="1:11" x14ac:dyDescent="0.2">
      <c r="A27" s="8" t="s">
        <v>224</v>
      </c>
      <c r="B27" s="8" t="s">
        <v>225</v>
      </c>
      <c r="C27" s="8" t="s">
        <v>48</v>
      </c>
      <c r="D27" s="8" t="s">
        <v>41</v>
      </c>
      <c r="E27" s="8" t="s">
        <v>56</v>
      </c>
      <c r="F27" s="8" t="s">
        <v>57</v>
      </c>
      <c r="G27" s="8" t="s">
        <v>32</v>
      </c>
      <c r="H27" s="8" t="s">
        <v>72</v>
      </c>
      <c r="I27" s="8" t="s">
        <v>34</v>
      </c>
      <c r="J27" s="8" t="s">
        <v>58</v>
      </c>
      <c r="K27" s="9" t="s">
        <v>44</v>
      </c>
    </row>
    <row r="28" spans="1:11" x14ac:dyDescent="0.2">
      <c r="A28" s="5" t="s">
        <v>147</v>
      </c>
      <c r="B28" s="5" t="s">
        <v>148</v>
      </c>
      <c r="C28" s="5" t="s">
        <v>71</v>
      </c>
      <c r="D28" s="5" t="s">
        <v>41</v>
      </c>
      <c r="E28" s="5" t="s">
        <v>90</v>
      </c>
      <c r="F28" s="5" t="s">
        <v>42</v>
      </c>
      <c r="G28" s="5" t="s">
        <v>20</v>
      </c>
      <c r="H28" s="5" t="s">
        <v>110</v>
      </c>
      <c r="I28" s="5" t="s">
        <v>64</v>
      </c>
      <c r="J28" s="5" t="s">
        <v>150</v>
      </c>
      <c r="K28" s="6" t="s">
        <v>94</v>
      </c>
    </row>
    <row r="29" spans="1:11" x14ac:dyDescent="0.2">
      <c r="A29" s="8" t="s">
        <v>187</v>
      </c>
      <c r="B29" s="8" t="s">
        <v>188</v>
      </c>
      <c r="C29" s="8" t="s">
        <v>48</v>
      </c>
      <c r="D29" s="8" t="s">
        <v>41</v>
      </c>
      <c r="E29" s="8" t="s">
        <v>63</v>
      </c>
      <c r="F29" s="8" t="s">
        <v>101</v>
      </c>
      <c r="G29" s="8" t="s">
        <v>50</v>
      </c>
      <c r="H29" s="8" t="s">
        <v>21</v>
      </c>
      <c r="I29" s="8" t="s">
        <v>64</v>
      </c>
      <c r="J29" s="8" t="s">
        <v>23</v>
      </c>
      <c r="K29" s="9" t="s">
        <v>44</v>
      </c>
    </row>
    <row r="30" spans="1:11" x14ac:dyDescent="0.2">
      <c r="A30" s="5" t="s">
        <v>151</v>
      </c>
      <c r="B30" s="5" t="s">
        <v>152</v>
      </c>
      <c r="C30" s="5" t="s">
        <v>40</v>
      </c>
      <c r="D30" s="5" t="s">
        <v>41</v>
      </c>
      <c r="E30" s="5" t="s">
        <v>56</v>
      </c>
      <c r="F30" s="5" t="s">
        <v>31</v>
      </c>
      <c r="G30" s="5" t="s">
        <v>50</v>
      </c>
      <c r="H30" s="5" t="s">
        <v>72</v>
      </c>
      <c r="I30" s="5" t="s">
        <v>34</v>
      </c>
      <c r="J30" s="5" t="s">
        <v>35</v>
      </c>
      <c r="K30" s="6" t="s">
        <v>52</v>
      </c>
    </row>
    <row r="31" spans="1:11" x14ac:dyDescent="0.2">
      <c r="A31" s="8" t="s">
        <v>193</v>
      </c>
      <c r="B31" s="8" t="s">
        <v>194</v>
      </c>
      <c r="C31" s="8" t="s">
        <v>48</v>
      </c>
      <c r="D31" s="8" t="s">
        <v>49</v>
      </c>
      <c r="E31" s="8" t="s">
        <v>63</v>
      </c>
      <c r="F31" s="8" t="s">
        <v>19</v>
      </c>
      <c r="G31" s="8" t="s">
        <v>50</v>
      </c>
      <c r="H31" s="8" t="s">
        <v>51</v>
      </c>
      <c r="I31" s="8" t="s">
        <v>64</v>
      </c>
      <c r="J31" s="8" t="s">
        <v>58</v>
      </c>
      <c r="K31" s="9" t="s">
        <v>52</v>
      </c>
    </row>
    <row r="32" spans="1:11" x14ac:dyDescent="0.2">
      <c r="A32" s="5" t="s">
        <v>233</v>
      </c>
      <c r="B32" s="5" t="s">
        <v>234</v>
      </c>
      <c r="C32" s="5" t="s">
        <v>71</v>
      </c>
      <c r="D32" s="5" t="s">
        <v>29</v>
      </c>
      <c r="E32" s="5" t="s">
        <v>63</v>
      </c>
      <c r="F32" s="5" t="s">
        <v>101</v>
      </c>
      <c r="G32" s="5" t="s">
        <v>50</v>
      </c>
      <c r="H32" s="5" t="s">
        <v>21</v>
      </c>
      <c r="I32" s="5" t="s">
        <v>64</v>
      </c>
      <c r="J32" s="5" t="s">
        <v>23</v>
      </c>
      <c r="K32" s="6" t="s">
        <v>169</v>
      </c>
    </row>
    <row r="33" spans="1:11" x14ac:dyDescent="0.2">
      <c r="A33" s="8" t="s">
        <v>218</v>
      </c>
      <c r="B33" s="8" t="s">
        <v>219</v>
      </c>
      <c r="C33" s="8" t="s">
        <v>62</v>
      </c>
      <c r="D33" s="8" t="s">
        <v>41</v>
      </c>
      <c r="E33" s="8" t="s">
        <v>63</v>
      </c>
      <c r="F33" s="8" t="s">
        <v>19</v>
      </c>
      <c r="G33" s="8" t="s">
        <v>126</v>
      </c>
      <c r="H33" s="8" t="s">
        <v>21</v>
      </c>
      <c r="I33" s="8" t="s">
        <v>34</v>
      </c>
      <c r="J33" s="8" t="s">
        <v>23</v>
      </c>
      <c r="K33" s="9" t="s">
        <v>52</v>
      </c>
    </row>
    <row r="34" spans="1:11" x14ac:dyDescent="0.2">
      <c r="A34" s="5" t="s">
        <v>163</v>
      </c>
      <c r="B34" s="5" t="s">
        <v>164</v>
      </c>
      <c r="C34" s="5" t="s">
        <v>71</v>
      </c>
      <c r="D34" s="5" t="s">
        <v>41</v>
      </c>
      <c r="E34" s="5" t="s">
        <v>56</v>
      </c>
      <c r="F34" s="5" t="s">
        <v>31</v>
      </c>
      <c r="G34" s="5" t="s">
        <v>43</v>
      </c>
      <c r="H34" s="5" t="s">
        <v>72</v>
      </c>
      <c r="I34" s="5" t="s">
        <v>34</v>
      </c>
      <c r="J34" s="5" t="s">
        <v>58</v>
      </c>
      <c r="K34" s="6" t="s">
        <v>44</v>
      </c>
    </row>
    <row r="35" spans="1:11" x14ac:dyDescent="0.2">
      <c r="A35" s="5" t="s">
        <v>114</v>
      </c>
      <c r="B35" s="5" t="s">
        <v>115</v>
      </c>
      <c r="C35" s="5" t="s">
        <v>62</v>
      </c>
      <c r="D35" s="5" t="s">
        <v>41</v>
      </c>
      <c r="E35" s="5" t="s">
        <v>56</v>
      </c>
      <c r="F35" s="5" t="s">
        <v>19</v>
      </c>
      <c r="G35" s="5" t="s">
        <v>50</v>
      </c>
      <c r="H35" s="5" t="s">
        <v>72</v>
      </c>
      <c r="I35" s="5" t="s">
        <v>64</v>
      </c>
      <c r="J35" s="5" t="s">
        <v>23</v>
      </c>
      <c r="K35" s="6" t="s">
        <v>44</v>
      </c>
    </row>
    <row r="36" spans="1:11" x14ac:dyDescent="0.2">
      <c r="A36" s="8" t="s">
        <v>196</v>
      </c>
      <c r="B36" s="8" t="s">
        <v>197</v>
      </c>
      <c r="C36" s="8" t="s">
        <v>71</v>
      </c>
      <c r="D36" s="8" t="s">
        <v>41</v>
      </c>
      <c r="E36" s="8" t="s">
        <v>56</v>
      </c>
      <c r="F36" s="8" t="s">
        <v>31</v>
      </c>
      <c r="G36" s="8" t="s">
        <v>32</v>
      </c>
      <c r="H36" s="8" t="s">
        <v>72</v>
      </c>
      <c r="I36" s="8" t="s">
        <v>34</v>
      </c>
      <c r="J36" s="8" t="s">
        <v>23</v>
      </c>
      <c r="K36" s="9" t="s">
        <v>52</v>
      </c>
    </row>
    <row r="37" spans="1:11" x14ac:dyDescent="0.2">
      <c r="A37" s="5" t="s">
        <v>322</v>
      </c>
      <c r="B37" s="5" t="s">
        <v>323</v>
      </c>
      <c r="C37" s="5" t="s">
        <v>71</v>
      </c>
      <c r="D37" s="5" t="s">
        <v>29</v>
      </c>
      <c r="E37" s="5" t="s">
        <v>63</v>
      </c>
      <c r="F37" s="5" t="s">
        <v>19</v>
      </c>
      <c r="G37" s="5" t="s">
        <v>43</v>
      </c>
      <c r="H37" s="5" t="s">
        <v>72</v>
      </c>
      <c r="I37" s="5" t="s">
        <v>34</v>
      </c>
      <c r="J37" s="5" t="s">
        <v>23</v>
      </c>
      <c r="K37" s="6" t="s">
        <v>52</v>
      </c>
    </row>
    <row r="38" spans="1:11" x14ac:dyDescent="0.2">
      <c r="A38" s="8" t="s">
        <v>212</v>
      </c>
      <c r="B38" s="8" t="s">
        <v>213</v>
      </c>
      <c r="C38" s="8" t="s">
        <v>28</v>
      </c>
      <c r="D38" s="8" t="s">
        <v>49</v>
      </c>
      <c r="E38" s="8" t="s">
        <v>63</v>
      </c>
      <c r="F38" s="8" t="s">
        <v>101</v>
      </c>
      <c r="G38" s="8" t="s">
        <v>43</v>
      </c>
      <c r="H38" s="8" t="s">
        <v>51</v>
      </c>
      <c r="I38" s="8" t="s">
        <v>64</v>
      </c>
      <c r="J38" s="8" t="s">
        <v>23</v>
      </c>
      <c r="K38" s="9" t="s">
        <v>44</v>
      </c>
    </row>
    <row r="39" spans="1:11" x14ac:dyDescent="0.2">
      <c r="A39" s="5" t="s">
        <v>73</v>
      </c>
      <c r="B39" s="5" t="s">
        <v>74</v>
      </c>
      <c r="C39" s="5" t="s">
        <v>48</v>
      </c>
      <c r="D39" s="5" t="s">
        <v>49</v>
      </c>
      <c r="E39" s="5" t="s">
        <v>56</v>
      </c>
      <c r="F39" s="5" t="s">
        <v>42</v>
      </c>
      <c r="G39" s="5" t="s">
        <v>50</v>
      </c>
      <c r="H39" s="5" t="s">
        <v>21</v>
      </c>
      <c r="I39" s="5" t="s">
        <v>76</v>
      </c>
      <c r="J39" s="5" t="s">
        <v>23</v>
      </c>
      <c r="K39" s="6" t="s">
        <v>52</v>
      </c>
    </row>
    <row r="40" spans="1:11" x14ac:dyDescent="0.2">
      <c r="A40" s="8" t="s">
        <v>143</v>
      </c>
      <c r="B40" s="8" t="s">
        <v>346</v>
      </c>
      <c r="C40" s="8" t="s">
        <v>16</v>
      </c>
      <c r="D40" s="8" t="s">
        <v>41</v>
      </c>
      <c r="E40" s="8" t="s">
        <v>63</v>
      </c>
      <c r="F40" s="8" t="s">
        <v>91</v>
      </c>
      <c r="G40" s="8" t="s">
        <v>50</v>
      </c>
      <c r="H40" s="8" t="s">
        <v>146</v>
      </c>
      <c r="I40" s="8" t="s">
        <v>64</v>
      </c>
      <c r="J40" s="8" t="s">
        <v>23</v>
      </c>
      <c r="K40" s="9" t="s">
        <v>94</v>
      </c>
    </row>
    <row r="41" spans="1:11" x14ac:dyDescent="0.2">
      <c r="A41" s="5" t="s">
        <v>130</v>
      </c>
      <c r="B41" s="5" t="s">
        <v>131</v>
      </c>
      <c r="C41" s="5" t="s">
        <v>71</v>
      </c>
      <c r="D41" s="5" t="s">
        <v>41</v>
      </c>
      <c r="E41" s="5" t="s">
        <v>56</v>
      </c>
      <c r="F41" s="5" t="s">
        <v>57</v>
      </c>
      <c r="G41" s="5" t="s">
        <v>32</v>
      </c>
      <c r="H41" s="5" t="s">
        <v>33</v>
      </c>
      <c r="I41" s="5" t="s">
        <v>64</v>
      </c>
      <c r="J41" s="5" t="s">
        <v>58</v>
      </c>
      <c r="K41" s="6" t="s">
        <v>44</v>
      </c>
    </row>
    <row r="42" spans="1:11" x14ac:dyDescent="0.2">
      <c r="A42" s="8" t="s">
        <v>140</v>
      </c>
      <c r="B42" s="8" t="s">
        <v>141</v>
      </c>
      <c r="C42" s="8" t="s">
        <v>40</v>
      </c>
      <c r="D42" s="8" t="s">
        <v>41</v>
      </c>
      <c r="E42" s="8" t="s">
        <v>56</v>
      </c>
      <c r="F42" s="8" t="s">
        <v>57</v>
      </c>
      <c r="G42" s="8" t="s">
        <v>43</v>
      </c>
      <c r="H42" s="8" t="s">
        <v>72</v>
      </c>
      <c r="I42" s="8" t="s">
        <v>64</v>
      </c>
      <c r="J42" s="8" t="s">
        <v>35</v>
      </c>
      <c r="K42" s="9" t="s">
        <v>44</v>
      </c>
    </row>
    <row r="43" spans="1:11" x14ac:dyDescent="0.2">
      <c r="A43" s="5" t="s">
        <v>136</v>
      </c>
      <c r="B43" s="5" t="s">
        <v>137</v>
      </c>
      <c r="C43" s="5" t="s">
        <v>86</v>
      </c>
      <c r="D43" s="5" t="s">
        <v>17</v>
      </c>
      <c r="E43" s="5" t="s">
        <v>63</v>
      </c>
      <c r="F43" s="5" t="s">
        <v>91</v>
      </c>
      <c r="G43" s="5" t="s">
        <v>32</v>
      </c>
      <c r="H43" s="5" t="s">
        <v>51</v>
      </c>
      <c r="I43" s="5" t="s">
        <v>139</v>
      </c>
      <c r="J43" s="5" t="s">
        <v>35</v>
      </c>
      <c r="K43" s="6" t="s">
        <v>52</v>
      </c>
    </row>
    <row r="44" spans="1:11" x14ac:dyDescent="0.2">
      <c r="A44" s="8" t="s">
        <v>176</v>
      </c>
      <c r="B44" s="8" t="s">
        <v>177</v>
      </c>
      <c r="C44" s="8" t="s">
        <v>28</v>
      </c>
      <c r="D44" s="8" t="s">
        <v>41</v>
      </c>
      <c r="E44" s="8" t="s">
        <v>63</v>
      </c>
      <c r="F44" s="8" t="s">
        <v>19</v>
      </c>
      <c r="G44" s="8" t="s">
        <v>179</v>
      </c>
      <c r="H44" s="8" t="s">
        <v>33</v>
      </c>
      <c r="I44" s="8" t="s">
        <v>139</v>
      </c>
      <c r="J44" s="8" t="s">
        <v>180</v>
      </c>
      <c r="K44" s="9" t="s">
        <v>94</v>
      </c>
    </row>
    <row r="45" spans="1:11" x14ac:dyDescent="0.2">
      <c r="A45" s="5" t="s">
        <v>341</v>
      </c>
      <c r="B45" s="5" t="s">
        <v>342</v>
      </c>
      <c r="C45" s="5" t="s">
        <v>71</v>
      </c>
      <c r="D45" s="5" t="s">
        <v>49</v>
      </c>
      <c r="E45" s="5" t="s">
        <v>202</v>
      </c>
      <c r="F45" s="5" t="s">
        <v>91</v>
      </c>
      <c r="G45" s="5" t="s">
        <v>50</v>
      </c>
      <c r="H45" s="5" t="s">
        <v>110</v>
      </c>
      <c r="I45" s="5" t="s">
        <v>92</v>
      </c>
      <c r="J45" s="5" t="s">
        <v>23</v>
      </c>
      <c r="K45" s="6" t="s">
        <v>260</v>
      </c>
    </row>
    <row r="46" spans="1:11" x14ac:dyDescent="0.2">
      <c r="A46" s="8" t="s">
        <v>298</v>
      </c>
      <c r="B46" s="8" t="s">
        <v>299</v>
      </c>
      <c r="C46" s="8" t="s">
        <v>16</v>
      </c>
      <c r="D46" s="8" t="s">
        <v>41</v>
      </c>
      <c r="E46" s="8" t="s">
        <v>18</v>
      </c>
      <c r="F46" s="8" t="s">
        <v>101</v>
      </c>
      <c r="G46" s="8" t="s">
        <v>43</v>
      </c>
      <c r="H46" s="8" t="s">
        <v>72</v>
      </c>
      <c r="I46" s="8" t="s">
        <v>22</v>
      </c>
      <c r="J46" s="8" t="s">
        <v>106</v>
      </c>
      <c r="K46" s="9" t="s">
        <v>52</v>
      </c>
    </row>
    <row r="47" spans="1:11" x14ac:dyDescent="0.2">
      <c r="A47" s="5" t="s">
        <v>331</v>
      </c>
      <c r="B47" s="5" t="s">
        <v>332</v>
      </c>
      <c r="C47" s="5" t="s">
        <v>71</v>
      </c>
      <c r="D47" s="5" t="s">
        <v>29</v>
      </c>
      <c r="E47" s="5" t="s">
        <v>18</v>
      </c>
      <c r="F47" s="5" t="s">
        <v>57</v>
      </c>
      <c r="G47" s="5" t="s">
        <v>126</v>
      </c>
      <c r="H47" s="5" t="s">
        <v>21</v>
      </c>
      <c r="I47" s="5" t="s">
        <v>64</v>
      </c>
      <c r="J47" s="5" t="s">
        <v>35</v>
      </c>
      <c r="K47" s="6" t="s">
        <v>36</v>
      </c>
    </row>
    <row r="48" spans="1:11" x14ac:dyDescent="0.2">
      <c r="A48" s="8" t="s">
        <v>127</v>
      </c>
      <c r="B48" s="8" t="s">
        <v>128</v>
      </c>
      <c r="C48" s="8" t="s">
        <v>28</v>
      </c>
      <c r="D48" s="8" t="s">
        <v>29</v>
      </c>
      <c r="E48" s="8" t="s">
        <v>90</v>
      </c>
      <c r="F48" s="8" t="s">
        <v>42</v>
      </c>
      <c r="G48" s="8" t="s">
        <v>50</v>
      </c>
      <c r="H48" s="8" t="s">
        <v>21</v>
      </c>
      <c r="I48" s="8" t="s">
        <v>34</v>
      </c>
      <c r="J48" s="8" t="s">
        <v>23</v>
      </c>
      <c r="K48" s="9" t="s">
        <v>44</v>
      </c>
    </row>
    <row r="49" spans="1:11" x14ac:dyDescent="0.2">
      <c r="A49" s="5" t="s">
        <v>209</v>
      </c>
      <c r="B49" s="5" t="s">
        <v>210</v>
      </c>
      <c r="C49" s="5" t="s">
        <v>71</v>
      </c>
      <c r="D49" s="5" t="s">
        <v>41</v>
      </c>
      <c r="E49" s="5" t="s">
        <v>56</v>
      </c>
      <c r="F49" s="5" t="s">
        <v>57</v>
      </c>
      <c r="G49" s="5" t="s">
        <v>32</v>
      </c>
      <c r="H49" s="5" t="s">
        <v>72</v>
      </c>
      <c r="I49" s="5" t="s">
        <v>64</v>
      </c>
      <c r="J49" s="5" t="s">
        <v>23</v>
      </c>
      <c r="K49" s="6" t="s">
        <v>52</v>
      </c>
    </row>
    <row r="50" spans="1:11" x14ac:dyDescent="0.2">
      <c r="A50" s="8" t="s">
        <v>120</v>
      </c>
      <c r="B50" s="8" t="s">
        <v>121</v>
      </c>
      <c r="C50" s="8" t="s">
        <v>71</v>
      </c>
      <c r="D50" s="8" t="s">
        <v>41</v>
      </c>
      <c r="E50" s="8" t="s">
        <v>18</v>
      </c>
      <c r="F50" s="8" t="s">
        <v>19</v>
      </c>
      <c r="G50" s="8" t="s">
        <v>43</v>
      </c>
      <c r="H50" s="8" t="s">
        <v>21</v>
      </c>
      <c r="I50" s="8" t="s">
        <v>64</v>
      </c>
      <c r="J50" s="8" t="s">
        <v>35</v>
      </c>
      <c r="K50" s="9" t="s">
        <v>44</v>
      </c>
    </row>
    <row r="51" spans="1:11" x14ac:dyDescent="0.2">
      <c r="A51" s="5" t="s">
        <v>87</v>
      </c>
      <c r="B51" s="5" t="s">
        <v>88</v>
      </c>
      <c r="C51" s="5" t="s">
        <v>28</v>
      </c>
      <c r="D51" s="5" t="s">
        <v>49</v>
      </c>
      <c r="E51" s="5" t="s">
        <v>90</v>
      </c>
      <c r="F51" s="5" t="s">
        <v>91</v>
      </c>
      <c r="G51" s="5" t="s">
        <v>50</v>
      </c>
      <c r="H51" s="5" t="s">
        <v>21</v>
      </c>
      <c r="I51" s="5" t="s">
        <v>92</v>
      </c>
      <c r="J51" s="5" t="s">
        <v>93</v>
      </c>
      <c r="K51" s="6" t="s">
        <v>94</v>
      </c>
    </row>
    <row r="52" spans="1:11" x14ac:dyDescent="0.2">
      <c r="A52" s="8" t="s">
        <v>68</v>
      </c>
      <c r="B52" s="8" t="s">
        <v>69</v>
      </c>
      <c r="C52" s="8" t="s">
        <v>71</v>
      </c>
      <c r="D52" s="8" t="s">
        <v>17</v>
      </c>
      <c r="E52" s="8" t="s">
        <v>63</v>
      </c>
      <c r="F52" s="8" t="s">
        <v>31</v>
      </c>
      <c r="G52" s="8" t="s">
        <v>43</v>
      </c>
      <c r="H52" s="8" t="s">
        <v>72</v>
      </c>
      <c r="I52" s="8" t="s">
        <v>34</v>
      </c>
      <c r="J52" s="8" t="s">
        <v>35</v>
      </c>
      <c r="K52" s="9" t="s">
        <v>52</v>
      </c>
    </row>
    <row r="53" spans="1:11" x14ac:dyDescent="0.2">
      <c r="A53" s="5" t="s">
        <v>307</v>
      </c>
      <c r="B53" s="5" t="s">
        <v>308</v>
      </c>
      <c r="C53" s="5" t="s">
        <v>16</v>
      </c>
      <c r="D53" s="5" t="s">
        <v>41</v>
      </c>
      <c r="E53" s="5" t="s">
        <v>202</v>
      </c>
      <c r="F53" s="5" t="s">
        <v>101</v>
      </c>
      <c r="G53" s="5" t="s">
        <v>179</v>
      </c>
      <c r="H53" s="5" t="s">
        <v>51</v>
      </c>
      <c r="I53" s="5" t="s">
        <v>92</v>
      </c>
      <c r="J53" s="5" t="s">
        <v>23</v>
      </c>
      <c r="K53" s="6" t="s">
        <v>94</v>
      </c>
    </row>
    <row r="54" spans="1:11" x14ac:dyDescent="0.2">
      <c r="A54" s="8" t="s">
        <v>316</v>
      </c>
      <c r="B54" s="8" t="s">
        <v>317</v>
      </c>
      <c r="C54" s="8" t="s">
        <v>86</v>
      </c>
      <c r="D54" s="8" t="s">
        <v>29</v>
      </c>
      <c r="E54" s="8" t="s">
        <v>18</v>
      </c>
      <c r="F54" s="8" t="s">
        <v>31</v>
      </c>
      <c r="G54" s="8" t="s">
        <v>32</v>
      </c>
      <c r="H54" s="8" t="s">
        <v>72</v>
      </c>
      <c r="I54" s="8" t="s">
        <v>64</v>
      </c>
      <c r="J54" s="8" t="s">
        <v>23</v>
      </c>
      <c r="K54" s="9" t="s">
        <v>52</v>
      </c>
    </row>
    <row r="55" spans="1:11" x14ac:dyDescent="0.2">
      <c r="A55" s="5" t="s">
        <v>274</v>
      </c>
      <c r="B55" s="5" t="s">
        <v>275</v>
      </c>
      <c r="C55" s="5" t="s">
        <v>71</v>
      </c>
      <c r="D55" s="5" t="s">
        <v>49</v>
      </c>
      <c r="E55" s="5" t="s">
        <v>56</v>
      </c>
      <c r="F55" s="5" t="s">
        <v>101</v>
      </c>
      <c r="G55" s="5" t="s">
        <v>20</v>
      </c>
      <c r="H55" s="5" t="s">
        <v>110</v>
      </c>
      <c r="I55" s="5" t="s">
        <v>34</v>
      </c>
      <c r="J55" s="5" t="s">
        <v>58</v>
      </c>
      <c r="K55" s="6" t="s">
        <v>169</v>
      </c>
    </row>
    <row r="56" spans="1:11" x14ac:dyDescent="0.2">
      <c r="A56" s="8" t="s">
        <v>83</v>
      </c>
      <c r="B56" s="8" t="s">
        <v>84</v>
      </c>
      <c r="C56" s="8" t="s">
        <v>86</v>
      </c>
      <c r="D56" s="8" t="s">
        <v>17</v>
      </c>
      <c r="E56" s="8" t="s">
        <v>63</v>
      </c>
      <c r="F56" s="8" t="s">
        <v>19</v>
      </c>
      <c r="G56" s="8" t="s">
        <v>20</v>
      </c>
      <c r="H56" s="8" t="s">
        <v>51</v>
      </c>
      <c r="I56" s="8" t="s">
        <v>22</v>
      </c>
      <c r="J56" s="8" t="s">
        <v>23</v>
      </c>
      <c r="K56" s="9" t="s">
        <v>52</v>
      </c>
    </row>
    <row r="57" spans="1:11" x14ac:dyDescent="0.2">
      <c r="A57" s="5" t="s">
        <v>190</v>
      </c>
      <c r="B57" s="5" t="s">
        <v>191</v>
      </c>
      <c r="C57" s="5" t="s">
        <v>62</v>
      </c>
      <c r="D57" s="5" t="s">
        <v>41</v>
      </c>
      <c r="E57" s="5" t="s">
        <v>56</v>
      </c>
      <c r="F57" s="5" t="s">
        <v>31</v>
      </c>
      <c r="G57" s="5" t="s">
        <v>43</v>
      </c>
      <c r="H57" s="5" t="s">
        <v>33</v>
      </c>
      <c r="I57" s="5" t="s">
        <v>34</v>
      </c>
      <c r="J57" s="5" t="s">
        <v>58</v>
      </c>
      <c r="K57" s="6" t="s">
        <v>44</v>
      </c>
    </row>
    <row r="58" spans="1:11" x14ac:dyDescent="0.2">
      <c r="A58" s="8" t="s">
        <v>37</v>
      </c>
      <c r="B58" s="8" t="s">
        <v>38</v>
      </c>
      <c r="C58" s="8" t="s">
        <v>40</v>
      </c>
      <c r="D58" s="8" t="s">
        <v>41</v>
      </c>
      <c r="E58" s="8" t="s">
        <v>30</v>
      </c>
      <c r="F58" s="8" t="s">
        <v>42</v>
      </c>
      <c r="G58" s="8" t="s">
        <v>43</v>
      </c>
      <c r="H58" s="8" t="s">
        <v>33</v>
      </c>
      <c r="I58" s="8" t="s">
        <v>34</v>
      </c>
      <c r="J58" s="8" t="s">
        <v>35</v>
      </c>
      <c r="K58" s="9" t="s">
        <v>44</v>
      </c>
    </row>
    <row r="59" spans="1:11" x14ac:dyDescent="0.2">
      <c r="A59" s="5" t="s">
        <v>295</v>
      </c>
      <c r="B59" s="5" t="s">
        <v>296</v>
      </c>
      <c r="C59" s="5" t="s">
        <v>71</v>
      </c>
      <c r="D59" s="5" t="s">
        <v>41</v>
      </c>
      <c r="E59" s="5" t="s">
        <v>18</v>
      </c>
      <c r="F59" s="5" t="s">
        <v>19</v>
      </c>
      <c r="G59" s="5" t="s">
        <v>32</v>
      </c>
      <c r="H59" s="5" t="s">
        <v>72</v>
      </c>
      <c r="I59" s="5" t="s">
        <v>34</v>
      </c>
      <c r="J59" s="5" t="s">
        <v>58</v>
      </c>
      <c r="K59" s="6" t="s">
        <v>52</v>
      </c>
    </row>
    <row r="60" spans="1:11" x14ac:dyDescent="0.2">
      <c r="A60" s="8" t="s">
        <v>271</v>
      </c>
      <c r="B60" s="8" t="s">
        <v>272</v>
      </c>
      <c r="C60" s="8" t="s">
        <v>28</v>
      </c>
      <c r="D60" s="8" t="s">
        <v>17</v>
      </c>
      <c r="E60" s="8" t="s">
        <v>202</v>
      </c>
      <c r="F60" s="8" t="s">
        <v>31</v>
      </c>
      <c r="G60" s="8" t="s">
        <v>179</v>
      </c>
      <c r="H60" s="8" t="s">
        <v>110</v>
      </c>
      <c r="I60" s="8" t="s">
        <v>76</v>
      </c>
      <c r="J60" s="8" t="s">
        <v>180</v>
      </c>
      <c r="K60" s="9" t="s">
        <v>94</v>
      </c>
    </row>
    <row r="61" spans="1:11" x14ac:dyDescent="0.2">
      <c r="A61" s="5" t="s">
        <v>199</v>
      </c>
      <c r="B61" s="5" t="s">
        <v>200</v>
      </c>
      <c r="C61" s="5" t="s">
        <v>62</v>
      </c>
      <c r="D61" s="5" t="s">
        <v>49</v>
      </c>
      <c r="E61" s="5" t="s">
        <v>202</v>
      </c>
      <c r="F61" s="5" t="s">
        <v>101</v>
      </c>
      <c r="G61" s="5" t="s">
        <v>43</v>
      </c>
      <c r="H61" s="5" t="s">
        <v>21</v>
      </c>
      <c r="I61" s="5" t="s">
        <v>64</v>
      </c>
      <c r="J61" s="5" t="s">
        <v>58</v>
      </c>
      <c r="K61" s="6" t="s">
        <v>52</v>
      </c>
    </row>
    <row r="62" spans="1:11" x14ac:dyDescent="0.2">
      <c r="A62" s="8" t="s">
        <v>203</v>
      </c>
      <c r="B62" s="8" t="s">
        <v>204</v>
      </c>
      <c r="C62" s="8" t="s">
        <v>71</v>
      </c>
      <c r="D62" s="8" t="s">
        <v>41</v>
      </c>
      <c r="E62" s="8" t="s">
        <v>63</v>
      </c>
      <c r="F62" s="8" t="s">
        <v>31</v>
      </c>
      <c r="G62" s="8" t="s">
        <v>32</v>
      </c>
      <c r="H62" s="8" t="s">
        <v>72</v>
      </c>
      <c r="I62" s="8" t="s">
        <v>64</v>
      </c>
      <c r="J62" s="8" t="s">
        <v>35</v>
      </c>
      <c r="K62" s="9" t="s">
        <v>52</v>
      </c>
    </row>
    <row r="63" spans="1:11" x14ac:dyDescent="0.2">
      <c r="A63" s="5" t="s">
        <v>261</v>
      </c>
      <c r="B63" s="5" t="s">
        <v>262</v>
      </c>
      <c r="C63" s="5" t="s">
        <v>62</v>
      </c>
      <c r="D63" s="5" t="s">
        <v>41</v>
      </c>
      <c r="E63" s="5" t="s">
        <v>63</v>
      </c>
      <c r="F63" s="5" t="s">
        <v>101</v>
      </c>
      <c r="G63" s="5" t="s">
        <v>50</v>
      </c>
      <c r="H63" s="5" t="s">
        <v>72</v>
      </c>
      <c r="I63" s="5" t="s">
        <v>22</v>
      </c>
      <c r="J63" s="5" t="s">
        <v>23</v>
      </c>
      <c r="K63" s="6" t="s">
        <v>52</v>
      </c>
    </row>
    <row r="64" spans="1:11" x14ac:dyDescent="0.2">
      <c r="A64" s="8" t="s">
        <v>166</v>
      </c>
      <c r="B64" s="8" t="s">
        <v>167</v>
      </c>
      <c r="C64" s="8" t="s">
        <v>71</v>
      </c>
      <c r="D64" s="8" t="s">
        <v>41</v>
      </c>
      <c r="E64" s="8" t="s">
        <v>63</v>
      </c>
      <c r="F64" s="8" t="s">
        <v>19</v>
      </c>
      <c r="G64" s="8" t="s">
        <v>43</v>
      </c>
      <c r="H64" s="8" t="s">
        <v>51</v>
      </c>
      <c r="I64" s="8" t="s">
        <v>34</v>
      </c>
      <c r="J64" s="8" t="s">
        <v>23</v>
      </c>
      <c r="K64" s="9" t="s">
        <v>169</v>
      </c>
    </row>
    <row r="65" spans="1:11" x14ac:dyDescent="0.2">
      <c r="A65" s="5" t="s">
        <v>280</v>
      </c>
      <c r="B65" s="5" t="s">
        <v>281</v>
      </c>
      <c r="C65" s="5" t="s">
        <v>71</v>
      </c>
      <c r="D65" s="5" t="s">
        <v>41</v>
      </c>
      <c r="E65" s="5" t="s">
        <v>63</v>
      </c>
      <c r="F65" s="5" t="s">
        <v>31</v>
      </c>
      <c r="G65" s="5" t="s">
        <v>43</v>
      </c>
      <c r="H65" s="5" t="s">
        <v>21</v>
      </c>
      <c r="I65" s="5" t="s">
        <v>64</v>
      </c>
      <c r="J65" s="5" t="s">
        <v>23</v>
      </c>
      <c r="K65" s="6" t="s">
        <v>52</v>
      </c>
    </row>
    <row r="66" spans="1:11" x14ac:dyDescent="0.2">
      <c r="A66" s="8" t="s">
        <v>133</v>
      </c>
      <c r="B66" s="8" t="s">
        <v>134</v>
      </c>
      <c r="C66" s="8" t="s">
        <v>71</v>
      </c>
      <c r="D66" s="8" t="s">
        <v>41</v>
      </c>
      <c r="E66" s="8" t="s">
        <v>63</v>
      </c>
      <c r="F66" s="8" t="s">
        <v>57</v>
      </c>
      <c r="G66" s="8" t="s">
        <v>43</v>
      </c>
      <c r="H66" s="8" t="s">
        <v>72</v>
      </c>
      <c r="I66" s="8" t="s">
        <v>64</v>
      </c>
      <c r="J66" s="8" t="s">
        <v>23</v>
      </c>
      <c r="K66" s="9" t="s">
        <v>52</v>
      </c>
    </row>
    <row r="67" spans="1:11" x14ac:dyDescent="0.2">
      <c r="A67" s="5" t="s">
        <v>313</v>
      </c>
      <c r="B67" s="5" t="s">
        <v>314</v>
      </c>
      <c r="C67" s="5" t="s">
        <v>71</v>
      </c>
      <c r="D67" s="5" t="s">
        <v>41</v>
      </c>
      <c r="E67" s="5" t="s">
        <v>56</v>
      </c>
      <c r="F67" s="5" t="s">
        <v>31</v>
      </c>
      <c r="G67" s="5" t="s">
        <v>32</v>
      </c>
      <c r="H67" s="5" t="s">
        <v>33</v>
      </c>
      <c r="I67" s="5" t="s">
        <v>34</v>
      </c>
      <c r="J67" s="5" t="s">
        <v>58</v>
      </c>
      <c r="K67" s="6" t="s">
        <v>44</v>
      </c>
    </row>
    <row r="68" spans="1:11" x14ac:dyDescent="0.2">
      <c r="A68" s="8" t="s">
        <v>157</v>
      </c>
      <c r="B68" s="8" t="s">
        <v>158</v>
      </c>
      <c r="C68" s="8" t="s">
        <v>71</v>
      </c>
      <c r="D68" s="8" t="s">
        <v>29</v>
      </c>
      <c r="E68" s="8" t="s">
        <v>63</v>
      </c>
      <c r="F68" s="8" t="s">
        <v>42</v>
      </c>
      <c r="G68" s="8" t="s">
        <v>32</v>
      </c>
      <c r="H68" s="8" t="s">
        <v>33</v>
      </c>
      <c r="I68" s="8" t="s">
        <v>139</v>
      </c>
      <c r="J68" s="8" t="s">
        <v>23</v>
      </c>
      <c r="K68" s="9" t="s">
        <v>52</v>
      </c>
    </row>
    <row r="69" spans="1:11" x14ac:dyDescent="0.2">
      <c r="A69" s="5" t="s">
        <v>160</v>
      </c>
      <c r="B69" s="5" t="s">
        <v>161</v>
      </c>
      <c r="C69" s="5" t="s">
        <v>71</v>
      </c>
      <c r="D69" s="5" t="s">
        <v>41</v>
      </c>
      <c r="E69" s="5" t="s">
        <v>63</v>
      </c>
      <c r="F69" s="5" t="s">
        <v>31</v>
      </c>
      <c r="G69" s="5" t="s">
        <v>43</v>
      </c>
      <c r="H69" s="5" t="s">
        <v>72</v>
      </c>
      <c r="I69" s="5" t="s">
        <v>34</v>
      </c>
      <c r="J69" s="5" t="s">
        <v>58</v>
      </c>
      <c r="K69" s="6" t="s">
        <v>44</v>
      </c>
    </row>
    <row r="70" spans="1:11" x14ac:dyDescent="0.2">
      <c r="A70" s="8" t="s">
        <v>283</v>
      </c>
      <c r="B70" s="8" t="s">
        <v>284</v>
      </c>
      <c r="C70" s="8" t="s">
        <v>16</v>
      </c>
      <c r="D70" s="8" t="s">
        <v>41</v>
      </c>
      <c r="E70" s="8" t="s">
        <v>56</v>
      </c>
      <c r="F70" s="8" t="s">
        <v>31</v>
      </c>
      <c r="G70" s="8" t="s">
        <v>32</v>
      </c>
      <c r="H70" s="8" t="s">
        <v>33</v>
      </c>
      <c r="I70" s="8" t="s">
        <v>64</v>
      </c>
      <c r="J70" s="8" t="s">
        <v>35</v>
      </c>
      <c r="K70" s="9" t="s">
        <v>44</v>
      </c>
    </row>
    <row r="71" spans="1:11" x14ac:dyDescent="0.2">
      <c r="A71" s="5" t="s">
        <v>170</v>
      </c>
      <c r="B71" s="5" t="s">
        <v>171</v>
      </c>
      <c r="C71" s="5" t="s">
        <v>62</v>
      </c>
      <c r="D71" s="5" t="s">
        <v>41</v>
      </c>
      <c r="E71" s="5" t="s">
        <v>56</v>
      </c>
      <c r="F71" s="5" t="s">
        <v>101</v>
      </c>
      <c r="G71" s="5" t="s">
        <v>43</v>
      </c>
      <c r="H71" s="5" t="s">
        <v>72</v>
      </c>
      <c r="I71" s="5" t="s">
        <v>64</v>
      </c>
      <c r="J71" s="5" t="s">
        <v>35</v>
      </c>
      <c r="K71" s="6" t="s">
        <v>44</v>
      </c>
    </row>
    <row r="72" spans="1:11" x14ac:dyDescent="0.2">
      <c r="A72" s="8" t="s">
        <v>338</v>
      </c>
      <c r="B72" s="8" t="s">
        <v>339</v>
      </c>
      <c r="C72" s="8" t="s">
        <v>71</v>
      </c>
      <c r="D72" s="8" t="s">
        <v>41</v>
      </c>
      <c r="E72" s="8" t="s">
        <v>30</v>
      </c>
      <c r="F72" s="8" t="s">
        <v>57</v>
      </c>
      <c r="G72" s="8" t="s">
        <v>32</v>
      </c>
      <c r="H72" s="8" t="s">
        <v>51</v>
      </c>
      <c r="I72" s="8" t="s">
        <v>34</v>
      </c>
      <c r="J72" s="8" t="s">
        <v>58</v>
      </c>
      <c r="K72" s="9" t="s">
        <v>36</v>
      </c>
    </row>
    <row r="73" spans="1:11" x14ac:dyDescent="0.2">
      <c r="A73" s="5" t="s">
        <v>80</v>
      </c>
      <c r="B73" s="5" t="s">
        <v>81</v>
      </c>
      <c r="C73" s="5" t="s">
        <v>71</v>
      </c>
      <c r="D73" s="5" t="s">
        <v>41</v>
      </c>
      <c r="E73" s="5" t="s">
        <v>63</v>
      </c>
      <c r="F73" s="5" t="s">
        <v>31</v>
      </c>
      <c r="G73" s="5" t="s">
        <v>50</v>
      </c>
      <c r="H73" s="5" t="s">
        <v>72</v>
      </c>
      <c r="I73" s="5" t="s">
        <v>22</v>
      </c>
      <c r="J73" s="5" t="s">
        <v>23</v>
      </c>
      <c r="K73" s="6" t="s">
        <v>52</v>
      </c>
    </row>
    <row r="74" spans="1:11" x14ac:dyDescent="0.2">
      <c r="A74" s="8" t="s">
        <v>65</v>
      </c>
      <c r="B74" s="8" t="s">
        <v>66</v>
      </c>
      <c r="C74" s="8" t="s">
        <v>40</v>
      </c>
      <c r="D74" s="8" t="s">
        <v>41</v>
      </c>
      <c r="E74" s="8" t="s">
        <v>56</v>
      </c>
      <c r="F74" s="8" t="s">
        <v>57</v>
      </c>
      <c r="G74" s="8" t="s">
        <v>32</v>
      </c>
      <c r="H74" s="8" t="s">
        <v>33</v>
      </c>
      <c r="I74" s="8" t="s">
        <v>34</v>
      </c>
      <c r="J74" s="8" t="s">
        <v>35</v>
      </c>
      <c r="K74" s="9" t="s">
        <v>36</v>
      </c>
    </row>
    <row r="75" spans="1:11" x14ac:dyDescent="0.2">
      <c r="A75" s="5" t="s">
        <v>292</v>
      </c>
      <c r="B75" s="5" t="s">
        <v>293</v>
      </c>
      <c r="C75" s="5" t="s">
        <v>48</v>
      </c>
      <c r="D75" s="5" t="s">
        <v>41</v>
      </c>
      <c r="E75" s="5" t="s">
        <v>63</v>
      </c>
      <c r="F75" s="5" t="s">
        <v>19</v>
      </c>
      <c r="G75" s="5" t="s">
        <v>126</v>
      </c>
      <c r="H75" s="5" t="s">
        <v>51</v>
      </c>
      <c r="I75" s="5" t="s">
        <v>22</v>
      </c>
      <c r="J75" s="5" t="s">
        <v>106</v>
      </c>
      <c r="K75" s="6" t="s">
        <v>52</v>
      </c>
    </row>
    <row r="76" spans="1:11" x14ac:dyDescent="0.2">
      <c r="A76" s="8" t="s">
        <v>334</v>
      </c>
      <c r="B76" s="8" t="s">
        <v>335</v>
      </c>
      <c r="C76" s="8" t="s">
        <v>86</v>
      </c>
      <c r="D76" s="8" t="s">
        <v>41</v>
      </c>
      <c r="E76" s="8" t="s">
        <v>202</v>
      </c>
      <c r="F76" s="8" t="s">
        <v>19</v>
      </c>
      <c r="G76" s="8" t="s">
        <v>50</v>
      </c>
      <c r="H76" s="8" t="s">
        <v>72</v>
      </c>
      <c r="I76" s="8" t="s">
        <v>337</v>
      </c>
      <c r="J76" s="8" t="s">
        <v>180</v>
      </c>
      <c r="K76" s="9" t="s">
        <v>260</v>
      </c>
    </row>
    <row r="77" spans="1:11" x14ac:dyDescent="0.2">
      <c r="A77" s="5" t="s">
        <v>289</v>
      </c>
      <c r="B77" s="5" t="s">
        <v>290</v>
      </c>
      <c r="C77" s="5" t="s">
        <v>40</v>
      </c>
      <c r="D77" s="5" t="s">
        <v>41</v>
      </c>
      <c r="E77" s="5" t="s">
        <v>56</v>
      </c>
      <c r="F77" s="5" t="s">
        <v>57</v>
      </c>
      <c r="G77" s="5" t="s">
        <v>32</v>
      </c>
      <c r="H77" s="5" t="s">
        <v>33</v>
      </c>
      <c r="I77" s="5" t="s">
        <v>34</v>
      </c>
      <c r="J77" s="5" t="s">
        <v>58</v>
      </c>
      <c r="K77" s="6" t="s">
        <v>36</v>
      </c>
    </row>
    <row r="78" spans="1:11" x14ac:dyDescent="0.2">
      <c r="A78" s="8" t="s">
        <v>325</v>
      </c>
      <c r="B78" s="8" t="s">
        <v>326</v>
      </c>
      <c r="C78" s="8" t="s">
        <v>86</v>
      </c>
      <c r="D78" s="8" t="s">
        <v>41</v>
      </c>
      <c r="E78" s="8" t="s">
        <v>63</v>
      </c>
      <c r="F78" s="8" t="s">
        <v>91</v>
      </c>
      <c r="G78" s="8" t="s">
        <v>43</v>
      </c>
      <c r="H78" s="8" t="s">
        <v>21</v>
      </c>
      <c r="I78" s="8" t="s">
        <v>22</v>
      </c>
      <c r="J78" s="8" t="s">
        <v>150</v>
      </c>
      <c r="K78" s="9" t="s">
        <v>260</v>
      </c>
    </row>
    <row r="79" spans="1:11" x14ac:dyDescent="0.2">
      <c r="A79" s="5" t="s">
        <v>13</v>
      </c>
      <c r="B79" s="5" t="s">
        <v>14</v>
      </c>
      <c r="C79" s="5" t="s">
        <v>16</v>
      </c>
      <c r="D79" s="5" t="s">
        <v>17</v>
      </c>
      <c r="E79" s="5" t="s">
        <v>18</v>
      </c>
      <c r="F79" s="5" t="s">
        <v>19</v>
      </c>
      <c r="G79" s="5" t="s">
        <v>20</v>
      </c>
      <c r="H79" s="5" t="s">
        <v>21</v>
      </c>
      <c r="I79" s="5" t="s">
        <v>22</v>
      </c>
      <c r="J79" s="5" t="s">
        <v>23</v>
      </c>
      <c r="K79" s="6" t="s">
        <v>24</v>
      </c>
    </row>
    <row r="80" spans="1:11" x14ac:dyDescent="0.2">
      <c r="A80" s="8" t="s">
        <v>248</v>
      </c>
      <c r="B80" s="8" t="s">
        <v>249</v>
      </c>
      <c r="C80" s="8" t="s">
        <v>48</v>
      </c>
      <c r="D80" s="8" t="s">
        <v>41</v>
      </c>
      <c r="E80" s="8" t="s">
        <v>63</v>
      </c>
      <c r="F80" s="8" t="s">
        <v>101</v>
      </c>
      <c r="G80" s="8" t="s">
        <v>251</v>
      </c>
      <c r="H80" s="8" t="s">
        <v>146</v>
      </c>
      <c r="I80" s="8" t="s">
        <v>92</v>
      </c>
      <c r="J80" s="8" t="s">
        <v>150</v>
      </c>
      <c r="K80" s="9" t="s">
        <v>94</v>
      </c>
    </row>
    <row r="81" spans="1:11" x14ac:dyDescent="0.2">
      <c r="A81" s="5" t="s">
        <v>277</v>
      </c>
      <c r="B81" s="5" t="s">
        <v>278</v>
      </c>
      <c r="C81" s="5" t="s">
        <v>62</v>
      </c>
      <c r="D81" s="5" t="s">
        <v>41</v>
      </c>
      <c r="E81" s="5" t="s">
        <v>56</v>
      </c>
      <c r="F81" s="5" t="s">
        <v>259</v>
      </c>
      <c r="G81" s="5" t="s">
        <v>32</v>
      </c>
      <c r="H81" s="5" t="s">
        <v>21</v>
      </c>
      <c r="I81" s="5" t="s">
        <v>92</v>
      </c>
      <c r="J81" s="5" t="s">
        <v>93</v>
      </c>
      <c r="K81" s="6" t="s">
        <v>260</v>
      </c>
    </row>
    <row r="82" spans="1:11" x14ac:dyDescent="0.2">
      <c r="A82" s="8" t="s">
        <v>245</v>
      </c>
      <c r="B82" s="8" t="s">
        <v>246</v>
      </c>
      <c r="C82" s="8" t="s">
        <v>40</v>
      </c>
      <c r="D82" s="8" t="s">
        <v>41</v>
      </c>
      <c r="E82" s="8" t="s">
        <v>63</v>
      </c>
      <c r="F82" s="8" t="s">
        <v>57</v>
      </c>
      <c r="G82" s="8" t="s">
        <v>43</v>
      </c>
      <c r="H82" s="8" t="s">
        <v>33</v>
      </c>
      <c r="I82" s="8" t="s">
        <v>34</v>
      </c>
      <c r="J82" s="8" t="s">
        <v>23</v>
      </c>
      <c r="K82" s="9" t="s">
        <v>52</v>
      </c>
    </row>
    <row r="83" spans="1:11" x14ac:dyDescent="0.2">
      <c r="A83" s="5" t="s">
        <v>98</v>
      </c>
      <c r="B83" s="5" t="s">
        <v>99</v>
      </c>
      <c r="C83" s="5" t="s">
        <v>71</v>
      </c>
      <c r="D83" s="5" t="s">
        <v>41</v>
      </c>
      <c r="E83" s="5" t="s">
        <v>30</v>
      </c>
      <c r="F83" s="5" t="s">
        <v>101</v>
      </c>
      <c r="G83" s="5" t="s">
        <v>32</v>
      </c>
      <c r="H83" s="5" t="s">
        <v>33</v>
      </c>
      <c r="I83" s="5" t="s">
        <v>34</v>
      </c>
      <c r="J83" s="5" t="s">
        <v>35</v>
      </c>
      <c r="K83" s="6" t="s">
        <v>44</v>
      </c>
    </row>
    <row r="84" spans="1:11" x14ac:dyDescent="0.2">
      <c r="A84" s="8" t="s">
        <v>268</v>
      </c>
      <c r="B84" s="8" t="s">
        <v>269</v>
      </c>
      <c r="C84" s="8" t="s">
        <v>48</v>
      </c>
      <c r="D84" s="8" t="s">
        <v>267</v>
      </c>
      <c r="E84" s="8" t="s">
        <v>56</v>
      </c>
      <c r="F84" s="8" t="s">
        <v>57</v>
      </c>
      <c r="G84" s="8" t="s">
        <v>50</v>
      </c>
      <c r="H84" s="8" t="s">
        <v>72</v>
      </c>
      <c r="I84" s="8" t="s">
        <v>34</v>
      </c>
      <c r="J84" s="8" t="s">
        <v>58</v>
      </c>
      <c r="K84" s="9" t="s">
        <v>44</v>
      </c>
    </row>
    <row r="85" spans="1:11" x14ac:dyDescent="0.2">
      <c r="A85" s="8" t="s">
        <v>310</v>
      </c>
      <c r="B85" s="8" t="s">
        <v>311</v>
      </c>
      <c r="C85" s="8" t="s">
        <v>86</v>
      </c>
      <c r="D85" s="8" t="s">
        <v>49</v>
      </c>
      <c r="E85" s="8" t="s">
        <v>202</v>
      </c>
      <c r="F85" s="8" t="s">
        <v>101</v>
      </c>
      <c r="G85" s="8" t="s">
        <v>126</v>
      </c>
      <c r="H85" s="8" t="s">
        <v>51</v>
      </c>
      <c r="I85" s="8" t="s">
        <v>76</v>
      </c>
      <c r="J85" s="8" t="s">
        <v>93</v>
      </c>
      <c r="K85" s="9" t="s">
        <v>169</v>
      </c>
    </row>
    <row r="86" spans="1:11" x14ac:dyDescent="0.2">
      <c r="A86" s="5" t="s">
        <v>301</v>
      </c>
      <c r="B86" s="5" t="s">
        <v>302</v>
      </c>
      <c r="C86" s="5" t="s">
        <v>71</v>
      </c>
      <c r="D86" s="5" t="s">
        <v>29</v>
      </c>
      <c r="E86" s="5" t="s">
        <v>18</v>
      </c>
      <c r="F86" s="5" t="s">
        <v>31</v>
      </c>
      <c r="G86" s="5" t="s">
        <v>32</v>
      </c>
      <c r="H86" s="5" t="s">
        <v>33</v>
      </c>
      <c r="I86" s="5" t="s">
        <v>139</v>
      </c>
      <c r="J86" s="5" t="s">
        <v>23</v>
      </c>
      <c r="K86" s="6" t="s">
        <v>36</v>
      </c>
    </row>
    <row r="87" spans="1:11" x14ac:dyDescent="0.2">
      <c r="A87" s="11" t="s">
        <v>154</v>
      </c>
      <c r="B87" s="11" t="s">
        <v>155</v>
      </c>
      <c r="C87" s="11" t="s">
        <v>40</v>
      </c>
      <c r="D87" s="11" t="s">
        <v>41</v>
      </c>
      <c r="E87" s="11" t="s">
        <v>30</v>
      </c>
      <c r="F87" s="11" t="s">
        <v>31</v>
      </c>
      <c r="G87" s="11" t="s">
        <v>43</v>
      </c>
      <c r="H87" s="11" t="s">
        <v>33</v>
      </c>
      <c r="I87" s="11" t="s">
        <v>34</v>
      </c>
      <c r="J87" s="11" t="s">
        <v>58</v>
      </c>
      <c r="K87" s="12" t="s">
        <v>44</v>
      </c>
    </row>
    <row r="91" spans="1:11" x14ac:dyDescent="0.2">
      <c r="C91" t="str">
        <f>LEFT(C2,FIND(".",C2)-1)</f>
        <v>5</v>
      </c>
      <c r="D91" t="str">
        <f t="shared" ref="D91:K91" si="0">LEFT(D2,FIND(".",D2)-1)</f>
        <v>2</v>
      </c>
      <c r="E91" t="str">
        <f t="shared" si="0"/>
        <v>3</v>
      </c>
      <c r="F91" t="str">
        <f t="shared" si="0"/>
        <v>3</v>
      </c>
      <c r="G91" t="str">
        <f t="shared" si="0"/>
        <v>2</v>
      </c>
      <c r="H91" t="str">
        <f t="shared" si="0"/>
        <v>2</v>
      </c>
      <c r="I91" t="str">
        <f t="shared" si="0"/>
        <v>2</v>
      </c>
      <c r="J91" t="str">
        <f t="shared" si="0"/>
        <v>1</v>
      </c>
      <c r="K91" t="str">
        <f t="shared" si="0"/>
        <v>1</v>
      </c>
    </row>
    <row r="92" spans="1:11" x14ac:dyDescent="0.2">
      <c r="C92" t="str">
        <f t="shared" ref="C92:K155" si="1">LEFT(C3,FIND(".",C3)-1)</f>
        <v>3</v>
      </c>
      <c r="D92" t="str">
        <f t="shared" si="1"/>
        <v>3</v>
      </c>
      <c r="E92" t="str">
        <f t="shared" si="1"/>
        <v>2</v>
      </c>
      <c r="F92" t="str">
        <f t="shared" si="1"/>
        <v>2</v>
      </c>
      <c r="G92" t="str">
        <f t="shared" si="1"/>
        <v>3</v>
      </c>
      <c r="H92" t="str">
        <f t="shared" si="1"/>
        <v>2</v>
      </c>
      <c r="I92" t="str">
        <f t="shared" si="1"/>
        <v>3</v>
      </c>
      <c r="J92" t="str">
        <f t="shared" si="1"/>
        <v>3</v>
      </c>
      <c r="K92" t="str">
        <f t="shared" si="1"/>
        <v>7</v>
      </c>
    </row>
    <row r="93" spans="1:11" x14ac:dyDescent="0.2">
      <c r="C93" t="str">
        <f t="shared" si="1"/>
        <v>4</v>
      </c>
      <c r="D93" t="str">
        <f t="shared" si="1"/>
        <v>4</v>
      </c>
      <c r="E93" t="str">
        <f t="shared" si="1"/>
        <v>3</v>
      </c>
      <c r="F93" t="str">
        <f t="shared" si="1"/>
        <v>3</v>
      </c>
      <c r="G93" t="str">
        <f t="shared" si="1"/>
        <v>1</v>
      </c>
      <c r="H93" t="str">
        <f t="shared" si="1"/>
        <v>3</v>
      </c>
      <c r="I93" t="str">
        <f t="shared" si="1"/>
        <v>3</v>
      </c>
      <c r="J93" t="str">
        <f t="shared" si="1"/>
        <v>2</v>
      </c>
      <c r="K93" t="str">
        <f t="shared" si="1"/>
        <v>1</v>
      </c>
    </row>
    <row r="94" spans="1:11" x14ac:dyDescent="0.2">
      <c r="C94" t="str">
        <f t="shared" si="1"/>
        <v>3</v>
      </c>
      <c r="D94" t="str">
        <f t="shared" si="1"/>
        <v>2</v>
      </c>
      <c r="E94" t="str">
        <f t="shared" si="1"/>
        <v>2</v>
      </c>
      <c r="F94" t="str">
        <f t="shared" si="1"/>
        <v>3</v>
      </c>
      <c r="G94" t="str">
        <f t="shared" si="1"/>
        <v>1</v>
      </c>
      <c r="H94" t="str">
        <f t="shared" si="1"/>
        <v>4</v>
      </c>
      <c r="I94" t="str">
        <f t="shared" si="1"/>
        <v>3</v>
      </c>
      <c r="J94" t="str">
        <f t="shared" si="1"/>
        <v>2</v>
      </c>
      <c r="K94" t="str">
        <f t="shared" si="1"/>
        <v>2</v>
      </c>
    </row>
    <row r="95" spans="1:11" x14ac:dyDescent="0.2">
      <c r="C95" t="str">
        <f t="shared" si="1"/>
        <v>5</v>
      </c>
      <c r="D95" t="str">
        <f t="shared" si="1"/>
        <v>1</v>
      </c>
      <c r="E95" t="str">
        <f t="shared" si="1"/>
        <v>1</v>
      </c>
      <c r="F95" t="str">
        <f t="shared" si="1"/>
        <v>4</v>
      </c>
      <c r="G95" t="str">
        <f t="shared" si="1"/>
        <v>3</v>
      </c>
      <c r="H95" t="str">
        <f t="shared" si="1"/>
        <v>3</v>
      </c>
      <c r="I95" t="str">
        <f t="shared" si="1"/>
        <v>4</v>
      </c>
      <c r="J95" t="str">
        <f t="shared" si="1"/>
        <v>4</v>
      </c>
      <c r="K95" t="str">
        <f t="shared" si="1"/>
        <v>2</v>
      </c>
    </row>
    <row r="96" spans="1:11" x14ac:dyDescent="0.2">
      <c r="C96" t="str">
        <f t="shared" si="1"/>
        <v>1</v>
      </c>
      <c r="D96" t="str">
        <f t="shared" si="1"/>
        <v>2</v>
      </c>
      <c r="E96" t="str">
        <f t="shared" si="1"/>
        <v>1</v>
      </c>
      <c r="F96" t="str">
        <f t="shared" si="1"/>
        <v>3</v>
      </c>
      <c r="G96" t="str">
        <f t="shared" si="1"/>
        <v>1</v>
      </c>
      <c r="H96" t="str">
        <f t="shared" si="1"/>
        <v>2</v>
      </c>
      <c r="I96" t="str">
        <f t="shared" si="1"/>
        <v>2</v>
      </c>
      <c r="J96" t="str">
        <f t="shared" si="1"/>
        <v>2</v>
      </c>
      <c r="K96" t="str">
        <f t="shared" si="1"/>
        <v>1</v>
      </c>
    </row>
    <row r="97" spans="3:11" x14ac:dyDescent="0.2">
      <c r="C97" t="str">
        <f t="shared" si="1"/>
        <v>3</v>
      </c>
      <c r="D97" t="str">
        <f t="shared" si="1"/>
        <v>4</v>
      </c>
      <c r="E97" t="str">
        <f t="shared" si="1"/>
        <v>1</v>
      </c>
      <c r="F97" t="str">
        <f t="shared" si="1"/>
        <v>4</v>
      </c>
      <c r="G97" t="str">
        <f t="shared" si="1"/>
        <v>1</v>
      </c>
      <c r="H97" t="str">
        <f t="shared" si="1"/>
        <v>2</v>
      </c>
      <c r="I97" t="str">
        <f t="shared" si="1"/>
        <v>3</v>
      </c>
      <c r="J97" t="str">
        <f t="shared" si="1"/>
        <v>3</v>
      </c>
      <c r="K97" t="str">
        <f t="shared" si="1"/>
        <v>3</v>
      </c>
    </row>
    <row r="98" spans="3:11" x14ac:dyDescent="0.2">
      <c r="C98" t="str">
        <f t="shared" si="1"/>
        <v>4</v>
      </c>
      <c r="D98" t="str">
        <f t="shared" si="1"/>
        <v>3</v>
      </c>
      <c r="E98" t="str">
        <f t="shared" si="1"/>
        <v>3</v>
      </c>
      <c r="F98" t="str">
        <f t="shared" si="1"/>
        <v>3</v>
      </c>
      <c r="G98" t="str">
        <f t="shared" si="1"/>
        <v>2</v>
      </c>
      <c r="H98" t="str">
        <f t="shared" si="1"/>
        <v>4</v>
      </c>
      <c r="I98" t="str">
        <f t="shared" si="1"/>
        <v>3</v>
      </c>
      <c r="J98" t="str">
        <f t="shared" si="1"/>
        <v>2</v>
      </c>
      <c r="K98" t="str">
        <f t="shared" si="1"/>
        <v>2</v>
      </c>
    </row>
    <row r="99" spans="3:11" x14ac:dyDescent="0.2">
      <c r="C99" t="str">
        <f t="shared" si="1"/>
        <v>4</v>
      </c>
      <c r="D99" t="str">
        <f t="shared" si="1"/>
        <v>2</v>
      </c>
      <c r="E99" t="str">
        <f t="shared" si="1"/>
        <v>5</v>
      </c>
      <c r="F99" t="str">
        <f t="shared" si="1"/>
        <v>1</v>
      </c>
      <c r="G99" t="str">
        <f t="shared" si="1"/>
        <v>5</v>
      </c>
      <c r="H99" t="str">
        <f t="shared" si="1"/>
        <v>7</v>
      </c>
      <c r="I99" t="str">
        <f t="shared" si="1"/>
        <v>5</v>
      </c>
      <c r="J99" t="str">
        <f t="shared" si="1"/>
        <v>3</v>
      </c>
      <c r="K99" t="str">
        <f t="shared" si="1"/>
        <v>4</v>
      </c>
    </row>
    <row r="100" spans="3:11" x14ac:dyDescent="0.2">
      <c r="C100" t="str">
        <f t="shared" si="1"/>
        <v>1</v>
      </c>
      <c r="D100" t="str">
        <f t="shared" si="1"/>
        <v>3</v>
      </c>
      <c r="E100" t="str">
        <f t="shared" si="1"/>
        <v>2</v>
      </c>
      <c r="F100" t="str">
        <f t="shared" si="1"/>
        <v>2</v>
      </c>
      <c r="G100" t="str">
        <f t="shared" si="1"/>
        <v>1</v>
      </c>
      <c r="H100" t="str">
        <f t="shared" si="1"/>
        <v>2</v>
      </c>
      <c r="I100" t="str">
        <f t="shared" si="1"/>
        <v>2</v>
      </c>
      <c r="J100" t="str">
        <f t="shared" si="1"/>
        <v>1</v>
      </c>
      <c r="K100" t="str">
        <f t="shared" si="1"/>
        <v>2</v>
      </c>
    </row>
    <row r="101" spans="3:11" x14ac:dyDescent="0.2">
      <c r="C101" t="str">
        <f t="shared" si="1"/>
        <v>7</v>
      </c>
      <c r="D101" t="str">
        <f t="shared" si="1"/>
        <v>6</v>
      </c>
      <c r="E101" t="str">
        <f t="shared" si="1"/>
        <v>3</v>
      </c>
      <c r="F101" t="str">
        <f t="shared" si="1"/>
        <v>5</v>
      </c>
      <c r="G101" t="str">
        <f t="shared" si="1"/>
        <v>2</v>
      </c>
      <c r="H101" t="str">
        <f t="shared" si="1"/>
        <v>3</v>
      </c>
      <c r="I101" t="str">
        <f t="shared" si="1"/>
        <v>5</v>
      </c>
      <c r="J101" t="str">
        <f t="shared" si="1"/>
        <v>1</v>
      </c>
      <c r="K101" t="str">
        <f t="shared" si="1"/>
        <v>7</v>
      </c>
    </row>
    <row r="102" spans="3:11" x14ac:dyDescent="0.2">
      <c r="C102" t="str">
        <f t="shared" si="1"/>
        <v>5</v>
      </c>
      <c r="D102" t="str">
        <f t="shared" si="1"/>
        <v>5</v>
      </c>
      <c r="E102" t="str">
        <f t="shared" si="1"/>
        <v>4</v>
      </c>
      <c r="F102" t="str">
        <f t="shared" si="1"/>
        <v>5</v>
      </c>
      <c r="G102" t="str">
        <f t="shared" si="1"/>
        <v>3</v>
      </c>
      <c r="H102" t="str">
        <f t="shared" si="1"/>
        <v>5</v>
      </c>
      <c r="I102" t="str">
        <f t="shared" si="1"/>
        <v>4</v>
      </c>
      <c r="J102" t="str">
        <f t="shared" si="1"/>
        <v>3</v>
      </c>
      <c r="K102" t="str">
        <f t="shared" si="1"/>
        <v>3</v>
      </c>
    </row>
    <row r="103" spans="3:11" x14ac:dyDescent="0.2">
      <c r="C103" t="str">
        <f t="shared" si="1"/>
        <v>5</v>
      </c>
      <c r="D103" t="str">
        <f t="shared" si="1"/>
        <v>3</v>
      </c>
      <c r="E103" t="str">
        <f t="shared" si="1"/>
        <v>3</v>
      </c>
      <c r="F103" t="str">
        <f t="shared" si="1"/>
        <v>3</v>
      </c>
      <c r="G103" t="str">
        <f t="shared" si="1"/>
        <v>4</v>
      </c>
      <c r="H103" t="str">
        <f t="shared" si="1"/>
        <v>3</v>
      </c>
      <c r="I103" t="str">
        <f t="shared" si="1"/>
        <v>3</v>
      </c>
      <c r="J103" t="str">
        <f t="shared" si="1"/>
        <v>2</v>
      </c>
      <c r="K103" t="str">
        <f t="shared" si="1"/>
        <v>2</v>
      </c>
    </row>
    <row r="104" spans="3:11" x14ac:dyDescent="0.2">
      <c r="C104" t="str">
        <f t="shared" si="1"/>
        <v>1</v>
      </c>
      <c r="D104" t="str">
        <f t="shared" si="1"/>
        <v>5</v>
      </c>
      <c r="E104" t="str">
        <f t="shared" si="1"/>
        <v>6</v>
      </c>
      <c r="F104" t="str">
        <f t="shared" si="1"/>
        <v>7</v>
      </c>
      <c r="G104" t="str">
        <f t="shared" si="1"/>
        <v>3</v>
      </c>
      <c r="H104" t="str">
        <f t="shared" si="1"/>
        <v>4</v>
      </c>
      <c r="I104" t="str">
        <f t="shared" si="1"/>
        <v>1</v>
      </c>
      <c r="J104" t="str">
        <f t="shared" si="1"/>
        <v>3</v>
      </c>
      <c r="K104" t="str">
        <f t="shared" si="1"/>
        <v>6</v>
      </c>
    </row>
    <row r="105" spans="3:11" x14ac:dyDescent="0.2">
      <c r="C105" t="str">
        <f t="shared" si="1"/>
        <v>1</v>
      </c>
      <c r="D105" t="str">
        <f t="shared" si="1"/>
        <v>2</v>
      </c>
      <c r="E105" t="str">
        <f t="shared" si="1"/>
        <v>3</v>
      </c>
      <c r="F105" t="str">
        <f t="shared" si="1"/>
        <v>4</v>
      </c>
      <c r="G105" t="str">
        <f t="shared" si="1"/>
        <v>5</v>
      </c>
      <c r="H105" t="str">
        <f t="shared" si="1"/>
        <v>6</v>
      </c>
      <c r="I105" t="str">
        <f t="shared" si="1"/>
        <v>7</v>
      </c>
      <c r="J105" t="str">
        <f t="shared" si="1"/>
        <v>3</v>
      </c>
      <c r="K105" t="str">
        <f t="shared" si="1"/>
        <v>5</v>
      </c>
    </row>
    <row r="106" spans="3:11" x14ac:dyDescent="0.2">
      <c r="C106" t="str">
        <f t="shared" si="1"/>
        <v>3</v>
      </c>
      <c r="D106" t="str">
        <f t="shared" si="1"/>
        <v>3</v>
      </c>
      <c r="E106" t="str">
        <f t="shared" si="1"/>
        <v>4</v>
      </c>
      <c r="F106" t="str">
        <f t="shared" si="1"/>
        <v>5</v>
      </c>
      <c r="G106" t="str">
        <f t="shared" si="1"/>
        <v>3</v>
      </c>
      <c r="H106" t="str">
        <f t="shared" si="1"/>
        <v>4</v>
      </c>
      <c r="I106" t="str">
        <f t="shared" si="1"/>
        <v>3</v>
      </c>
      <c r="J106" t="str">
        <f t="shared" si="1"/>
        <v>2</v>
      </c>
      <c r="K106" t="str">
        <f t="shared" si="1"/>
        <v>3</v>
      </c>
    </row>
    <row r="107" spans="3:11" x14ac:dyDescent="0.2">
      <c r="C107" t="str">
        <f t="shared" si="1"/>
        <v>3</v>
      </c>
      <c r="D107" t="str">
        <f t="shared" si="1"/>
        <v>5</v>
      </c>
      <c r="E107" t="str">
        <f t="shared" si="1"/>
        <v>3</v>
      </c>
      <c r="F107" t="str">
        <f t="shared" si="1"/>
        <v>3</v>
      </c>
      <c r="G107" t="str">
        <f t="shared" si="1"/>
        <v>2</v>
      </c>
      <c r="H107" t="str">
        <f t="shared" si="1"/>
        <v>2</v>
      </c>
      <c r="I107" t="str">
        <f t="shared" si="1"/>
        <v>3</v>
      </c>
      <c r="J107" t="str">
        <f t="shared" si="1"/>
        <v>3</v>
      </c>
      <c r="K107" t="str">
        <f t="shared" si="1"/>
        <v>3</v>
      </c>
    </row>
    <row r="108" spans="3:11" x14ac:dyDescent="0.2">
      <c r="C108" t="str">
        <f t="shared" si="1"/>
        <v>2</v>
      </c>
      <c r="D108" t="str">
        <f t="shared" si="1"/>
        <v>2</v>
      </c>
      <c r="E108" t="str">
        <f t="shared" si="1"/>
        <v>1</v>
      </c>
      <c r="F108" t="str">
        <f t="shared" si="1"/>
        <v>2</v>
      </c>
      <c r="G108" t="str">
        <f t="shared" si="1"/>
        <v>1</v>
      </c>
      <c r="H108" t="str">
        <f t="shared" si="1"/>
        <v>2</v>
      </c>
      <c r="I108" t="str">
        <f t="shared" si="1"/>
        <v>1</v>
      </c>
      <c r="J108" t="str">
        <f t="shared" si="1"/>
        <v>1</v>
      </c>
      <c r="K108" t="str">
        <f t="shared" si="1"/>
        <v>1</v>
      </c>
    </row>
    <row r="109" spans="3:11" x14ac:dyDescent="0.2">
      <c r="C109" t="str">
        <f t="shared" si="1"/>
        <v>3</v>
      </c>
      <c r="D109" t="str">
        <f t="shared" si="1"/>
        <v>5</v>
      </c>
      <c r="E109" t="str">
        <f t="shared" si="1"/>
        <v>2</v>
      </c>
      <c r="F109" t="str">
        <f t="shared" si="1"/>
        <v>3</v>
      </c>
      <c r="G109" t="str">
        <f t="shared" si="1"/>
        <v>1</v>
      </c>
      <c r="H109" t="str">
        <f t="shared" si="1"/>
        <v>3</v>
      </c>
      <c r="I109" t="str">
        <f t="shared" si="1"/>
        <v>2</v>
      </c>
      <c r="J109" t="str">
        <f t="shared" si="1"/>
        <v>1</v>
      </c>
      <c r="K109" t="str">
        <f t="shared" si="1"/>
        <v>2</v>
      </c>
    </row>
    <row r="110" spans="3:11" x14ac:dyDescent="0.2">
      <c r="C110" t="str">
        <f t="shared" si="1"/>
        <v>3</v>
      </c>
      <c r="D110" t="str">
        <f t="shared" si="1"/>
        <v>3</v>
      </c>
      <c r="E110" t="str">
        <f t="shared" si="1"/>
        <v>3</v>
      </c>
      <c r="F110" t="str">
        <f t="shared" si="1"/>
        <v>2</v>
      </c>
      <c r="G110" t="str">
        <f t="shared" si="1"/>
        <v>3</v>
      </c>
      <c r="H110" t="str">
        <f t="shared" si="1"/>
        <v>4</v>
      </c>
      <c r="I110" t="str">
        <f t="shared" si="1"/>
        <v>3</v>
      </c>
      <c r="J110" t="str">
        <f t="shared" si="1"/>
        <v>3</v>
      </c>
      <c r="K110" t="str">
        <f t="shared" si="1"/>
        <v>2</v>
      </c>
    </row>
    <row r="111" spans="3:11" x14ac:dyDescent="0.2">
      <c r="C111" t="str">
        <f t="shared" si="1"/>
        <v>3</v>
      </c>
      <c r="D111" t="str">
        <f t="shared" si="1"/>
        <v>2</v>
      </c>
      <c r="E111" t="str">
        <f t="shared" si="1"/>
        <v>2</v>
      </c>
      <c r="F111" t="str">
        <f t="shared" si="1"/>
        <v>3</v>
      </c>
      <c r="G111" t="str">
        <f t="shared" si="1"/>
        <v>2</v>
      </c>
      <c r="H111" t="str">
        <f t="shared" si="1"/>
        <v>2</v>
      </c>
      <c r="I111" t="str">
        <f t="shared" si="1"/>
        <v>2</v>
      </c>
      <c r="J111" t="str">
        <f t="shared" si="1"/>
        <v>3</v>
      </c>
      <c r="K111" t="str">
        <f t="shared" si="1"/>
        <v>2</v>
      </c>
    </row>
    <row r="112" spans="3:11" x14ac:dyDescent="0.2">
      <c r="C112" t="str">
        <f t="shared" si="1"/>
        <v>4</v>
      </c>
      <c r="D112" t="str">
        <f t="shared" si="1"/>
        <v>3</v>
      </c>
      <c r="E112" t="str">
        <f t="shared" si="1"/>
        <v>3</v>
      </c>
      <c r="F112" t="str">
        <f t="shared" si="1"/>
        <v>3</v>
      </c>
      <c r="G112" t="str">
        <f t="shared" si="1"/>
        <v>5</v>
      </c>
      <c r="H112" t="str">
        <f t="shared" si="1"/>
        <v>4</v>
      </c>
      <c r="I112" t="str">
        <f t="shared" si="1"/>
        <v>3</v>
      </c>
      <c r="J112" t="str">
        <f t="shared" si="1"/>
        <v>3</v>
      </c>
      <c r="K112" t="str">
        <f t="shared" si="1"/>
        <v>3</v>
      </c>
    </row>
    <row r="113" spans="3:11" x14ac:dyDescent="0.2">
      <c r="C113" t="str">
        <f t="shared" si="1"/>
        <v>3</v>
      </c>
      <c r="D113" t="str">
        <f t="shared" si="1"/>
        <v>2</v>
      </c>
      <c r="E113" t="str">
        <f t="shared" si="1"/>
        <v>3</v>
      </c>
      <c r="F113" t="str">
        <f t="shared" si="1"/>
        <v>4</v>
      </c>
      <c r="G113" t="str">
        <f t="shared" si="1"/>
        <v>2</v>
      </c>
      <c r="H113" t="str">
        <f t="shared" si="1"/>
        <v>3</v>
      </c>
      <c r="I113" t="str">
        <f t="shared" si="1"/>
        <v>2</v>
      </c>
      <c r="J113" t="str">
        <f t="shared" si="1"/>
        <v>3</v>
      </c>
      <c r="K113" t="str">
        <f t="shared" si="1"/>
        <v>2</v>
      </c>
    </row>
    <row r="114" spans="3:11" x14ac:dyDescent="0.2">
      <c r="C114" t="str">
        <f t="shared" si="1"/>
        <v>1</v>
      </c>
      <c r="D114" t="str">
        <f t="shared" si="1"/>
        <v>1</v>
      </c>
      <c r="E114" t="str">
        <f t="shared" si="1"/>
        <v>1</v>
      </c>
      <c r="F114" t="str">
        <f t="shared" si="1"/>
        <v>3</v>
      </c>
      <c r="G114" t="str">
        <f t="shared" si="1"/>
        <v>3</v>
      </c>
      <c r="H114" t="str">
        <f t="shared" si="1"/>
        <v>2</v>
      </c>
      <c r="I114" t="str">
        <f t="shared" si="1"/>
        <v>1</v>
      </c>
      <c r="J114" t="str">
        <f t="shared" si="1"/>
        <v>1</v>
      </c>
      <c r="K114" t="str">
        <f t="shared" si="1"/>
        <v>1</v>
      </c>
    </row>
    <row r="115" spans="3:11" x14ac:dyDescent="0.2">
      <c r="C115" t="str">
        <f t="shared" si="1"/>
        <v>3</v>
      </c>
      <c r="D115" t="str">
        <f t="shared" si="1"/>
        <v>3</v>
      </c>
      <c r="E115" t="str">
        <f t="shared" si="1"/>
        <v>3</v>
      </c>
      <c r="F115" t="str">
        <f t="shared" si="1"/>
        <v>4</v>
      </c>
      <c r="G115" t="str">
        <f t="shared" si="1"/>
        <v>3</v>
      </c>
      <c r="H115" t="str">
        <f t="shared" si="1"/>
        <v>3</v>
      </c>
      <c r="I115" t="str">
        <f t="shared" si="1"/>
        <v>2</v>
      </c>
      <c r="J115" t="str">
        <f t="shared" si="1"/>
        <v>1</v>
      </c>
      <c r="K115" t="str">
        <f t="shared" ref="D115:K130" si="2">LEFT(K26,FIND(".",K26)-1)</f>
        <v>2</v>
      </c>
    </row>
    <row r="116" spans="3:11" x14ac:dyDescent="0.2">
      <c r="C116" t="str">
        <f t="shared" si="1"/>
        <v>5</v>
      </c>
      <c r="D116" t="str">
        <f t="shared" si="2"/>
        <v>3</v>
      </c>
      <c r="E116" t="str">
        <f t="shared" si="2"/>
        <v>2</v>
      </c>
      <c r="F116" t="str">
        <f t="shared" si="2"/>
        <v>2</v>
      </c>
      <c r="G116" t="str">
        <f t="shared" si="2"/>
        <v>1</v>
      </c>
      <c r="H116" t="str">
        <f t="shared" si="2"/>
        <v>3</v>
      </c>
      <c r="I116" t="str">
        <f t="shared" si="2"/>
        <v>2</v>
      </c>
      <c r="J116" t="str">
        <f t="shared" si="2"/>
        <v>1</v>
      </c>
      <c r="K116" t="str">
        <f t="shared" si="2"/>
        <v>2</v>
      </c>
    </row>
    <row r="117" spans="3:11" x14ac:dyDescent="0.2">
      <c r="C117" t="str">
        <f t="shared" si="1"/>
        <v>3</v>
      </c>
      <c r="D117" t="str">
        <f t="shared" si="2"/>
        <v>3</v>
      </c>
      <c r="E117" t="str">
        <f t="shared" si="2"/>
        <v>7</v>
      </c>
      <c r="F117" t="str">
        <f t="shared" si="2"/>
        <v>1</v>
      </c>
      <c r="G117" t="str">
        <f t="shared" si="2"/>
        <v>5</v>
      </c>
      <c r="H117" t="str">
        <f t="shared" si="2"/>
        <v>6</v>
      </c>
      <c r="I117" t="str">
        <f t="shared" si="2"/>
        <v>3</v>
      </c>
      <c r="J117" t="str">
        <f t="shared" si="2"/>
        <v>7</v>
      </c>
      <c r="K117" t="str">
        <f t="shared" si="2"/>
        <v>7</v>
      </c>
    </row>
    <row r="118" spans="3:11" x14ac:dyDescent="0.2">
      <c r="C118" t="str">
        <f t="shared" si="1"/>
        <v>5</v>
      </c>
      <c r="D118" t="str">
        <f t="shared" si="2"/>
        <v>3</v>
      </c>
      <c r="E118" t="str">
        <f t="shared" si="2"/>
        <v>3</v>
      </c>
      <c r="F118" t="str">
        <f t="shared" si="2"/>
        <v>4</v>
      </c>
      <c r="G118" t="str">
        <f t="shared" si="2"/>
        <v>3</v>
      </c>
      <c r="H118" t="str">
        <f t="shared" si="2"/>
        <v>4</v>
      </c>
      <c r="I118" t="str">
        <f t="shared" si="2"/>
        <v>3</v>
      </c>
      <c r="J118" t="str">
        <f t="shared" si="2"/>
        <v>3</v>
      </c>
      <c r="K118" t="str">
        <f t="shared" si="2"/>
        <v>2</v>
      </c>
    </row>
    <row r="119" spans="3:11" x14ac:dyDescent="0.2">
      <c r="C119" t="str">
        <f t="shared" si="1"/>
        <v>2</v>
      </c>
      <c r="D119" t="str">
        <f t="shared" si="2"/>
        <v>3</v>
      </c>
      <c r="E119" t="str">
        <f t="shared" si="2"/>
        <v>2</v>
      </c>
      <c r="F119" t="str">
        <f t="shared" si="2"/>
        <v>3</v>
      </c>
      <c r="G119" t="str">
        <f t="shared" si="2"/>
        <v>3</v>
      </c>
      <c r="H119" t="str">
        <f t="shared" si="2"/>
        <v>3</v>
      </c>
      <c r="I119" t="str">
        <f t="shared" si="2"/>
        <v>2</v>
      </c>
      <c r="J119" t="str">
        <f t="shared" si="2"/>
        <v>2</v>
      </c>
      <c r="K119" t="str">
        <f t="shared" si="2"/>
        <v>3</v>
      </c>
    </row>
    <row r="120" spans="3:11" x14ac:dyDescent="0.2">
      <c r="C120" t="str">
        <f t="shared" si="1"/>
        <v>5</v>
      </c>
      <c r="D120" t="str">
        <f t="shared" si="2"/>
        <v>5</v>
      </c>
      <c r="E120" t="str">
        <f t="shared" si="2"/>
        <v>3</v>
      </c>
      <c r="F120" t="str">
        <f t="shared" si="2"/>
        <v>5</v>
      </c>
      <c r="G120" t="str">
        <f t="shared" si="2"/>
        <v>3</v>
      </c>
      <c r="H120" t="str">
        <f t="shared" si="2"/>
        <v>5</v>
      </c>
      <c r="I120" t="str">
        <f t="shared" si="2"/>
        <v>3</v>
      </c>
      <c r="J120" t="str">
        <f t="shared" si="2"/>
        <v>1</v>
      </c>
      <c r="K120" t="str">
        <f t="shared" si="2"/>
        <v>3</v>
      </c>
    </row>
    <row r="121" spans="3:11" x14ac:dyDescent="0.2">
      <c r="C121" t="str">
        <f t="shared" si="1"/>
        <v>3</v>
      </c>
      <c r="D121" t="str">
        <f t="shared" si="2"/>
        <v>2</v>
      </c>
      <c r="E121" t="str">
        <f t="shared" si="2"/>
        <v>3</v>
      </c>
      <c r="F121" t="str">
        <f t="shared" si="2"/>
        <v>4</v>
      </c>
      <c r="G121" t="str">
        <f t="shared" si="2"/>
        <v>3</v>
      </c>
      <c r="H121" t="str">
        <f t="shared" si="2"/>
        <v>4</v>
      </c>
      <c r="I121" t="str">
        <f t="shared" si="2"/>
        <v>3</v>
      </c>
      <c r="J121" t="str">
        <f t="shared" si="2"/>
        <v>3</v>
      </c>
      <c r="K121" t="str">
        <f t="shared" si="2"/>
        <v>4</v>
      </c>
    </row>
    <row r="122" spans="3:11" x14ac:dyDescent="0.2">
      <c r="C122" t="str">
        <f t="shared" si="1"/>
        <v>4</v>
      </c>
      <c r="D122" t="str">
        <f t="shared" si="2"/>
        <v>3</v>
      </c>
      <c r="E122" t="str">
        <f t="shared" si="2"/>
        <v>3</v>
      </c>
      <c r="F122" t="str">
        <f t="shared" si="2"/>
        <v>5</v>
      </c>
      <c r="G122" t="str">
        <f t="shared" si="2"/>
        <v>4</v>
      </c>
      <c r="H122" t="str">
        <f t="shared" si="2"/>
        <v>4</v>
      </c>
      <c r="I122" t="str">
        <f t="shared" si="2"/>
        <v>2</v>
      </c>
      <c r="J122" t="str">
        <f t="shared" si="2"/>
        <v>3</v>
      </c>
      <c r="K122" t="str">
        <f t="shared" si="2"/>
        <v>3</v>
      </c>
    </row>
    <row r="123" spans="3:11" x14ac:dyDescent="0.2">
      <c r="C123" t="str">
        <f t="shared" si="1"/>
        <v>3</v>
      </c>
      <c r="D123" t="str">
        <f t="shared" si="2"/>
        <v>3</v>
      </c>
      <c r="E123" t="str">
        <f t="shared" si="2"/>
        <v>2</v>
      </c>
      <c r="F123" t="str">
        <f t="shared" si="2"/>
        <v>3</v>
      </c>
      <c r="G123" t="str">
        <f t="shared" si="2"/>
        <v>2</v>
      </c>
      <c r="H123" t="str">
        <f t="shared" si="2"/>
        <v>3</v>
      </c>
      <c r="I123" t="str">
        <f t="shared" si="2"/>
        <v>2</v>
      </c>
      <c r="J123" t="str">
        <f t="shared" si="2"/>
        <v>1</v>
      </c>
      <c r="K123" t="str">
        <f t="shared" si="2"/>
        <v>2</v>
      </c>
    </row>
    <row r="124" spans="3:11" x14ac:dyDescent="0.2">
      <c r="C124" t="str">
        <f t="shared" si="1"/>
        <v>4</v>
      </c>
      <c r="D124" t="str">
        <f t="shared" si="2"/>
        <v>3</v>
      </c>
      <c r="E124" t="str">
        <f t="shared" si="2"/>
        <v>2</v>
      </c>
      <c r="F124" t="str">
        <f t="shared" si="2"/>
        <v>5</v>
      </c>
      <c r="G124" t="str">
        <f t="shared" si="2"/>
        <v>3</v>
      </c>
      <c r="H124" t="str">
        <f t="shared" si="2"/>
        <v>3</v>
      </c>
      <c r="I124" t="str">
        <f t="shared" si="2"/>
        <v>3</v>
      </c>
      <c r="J124" t="str">
        <f t="shared" si="2"/>
        <v>3</v>
      </c>
      <c r="K124" t="str">
        <f t="shared" si="2"/>
        <v>2</v>
      </c>
    </row>
    <row r="125" spans="3:11" x14ac:dyDescent="0.2">
      <c r="C125" t="str">
        <f t="shared" si="1"/>
        <v>3</v>
      </c>
      <c r="D125" t="str">
        <f t="shared" si="2"/>
        <v>3</v>
      </c>
      <c r="E125" t="str">
        <f t="shared" si="2"/>
        <v>2</v>
      </c>
      <c r="F125" t="str">
        <f t="shared" si="2"/>
        <v>3</v>
      </c>
      <c r="G125" t="str">
        <f t="shared" si="2"/>
        <v>1</v>
      </c>
      <c r="H125" t="str">
        <f t="shared" si="2"/>
        <v>3</v>
      </c>
      <c r="I125" t="str">
        <f t="shared" si="2"/>
        <v>2</v>
      </c>
      <c r="J125" t="str">
        <f t="shared" si="2"/>
        <v>3</v>
      </c>
      <c r="K125" t="str">
        <f t="shared" si="2"/>
        <v>3</v>
      </c>
    </row>
    <row r="126" spans="3:11" x14ac:dyDescent="0.2">
      <c r="C126" t="str">
        <f t="shared" si="1"/>
        <v>3</v>
      </c>
      <c r="D126" t="str">
        <f t="shared" si="2"/>
        <v>2</v>
      </c>
      <c r="E126" t="str">
        <f t="shared" si="2"/>
        <v>3</v>
      </c>
      <c r="F126" t="str">
        <f t="shared" si="2"/>
        <v>5</v>
      </c>
      <c r="G126" t="str">
        <f t="shared" si="2"/>
        <v>2</v>
      </c>
      <c r="H126" t="str">
        <f t="shared" si="2"/>
        <v>3</v>
      </c>
      <c r="I126" t="str">
        <f t="shared" si="2"/>
        <v>2</v>
      </c>
      <c r="J126" t="str">
        <f t="shared" si="2"/>
        <v>3</v>
      </c>
      <c r="K126" t="str">
        <f t="shared" si="2"/>
        <v>3</v>
      </c>
    </row>
    <row r="127" spans="3:11" x14ac:dyDescent="0.2">
      <c r="C127" t="str">
        <f t="shared" si="1"/>
        <v>1</v>
      </c>
      <c r="D127" t="str">
        <f t="shared" si="2"/>
        <v>5</v>
      </c>
      <c r="E127" t="str">
        <f t="shared" si="2"/>
        <v>3</v>
      </c>
      <c r="F127" t="str">
        <f t="shared" si="2"/>
        <v>4</v>
      </c>
      <c r="G127" t="str">
        <f t="shared" si="2"/>
        <v>2</v>
      </c>
      <c r="H127" t="str">
        <f t="shared" si="2"/>
        <v>5</v>
      </c>
      <c r="I127" t="str">
        <f t="shared" si="2"/>
        <v>3</v>
      </c>
      <c r="J127" t="str">
        <f t="shared" si="2"/>
        <v>3</v>
      </c>
      <c r="K127" t="str">
        <f t="shared" si="2"/>
        <v>2</v>
      </c>
    </row>
    <row r="128" spans="3:11" x14ac:dyDescent="0.2">
      <c r="C128" t="str">
        <f t="shared" si="1"/>
        <v>5</v>
      </c>
      <c r="D128" t="str">
        <f t="shared" si="2"/>
        <v>5</v>
      </c>
      <c r="E128" t="str">
        <f t="shared" si="2"/>
        <v>2</v>
      </c>
      <c r="F128" t="str">
        <f t="shared" si="2"/>
        <v>1</v>
      </c>
      <c r="G128" t="str">
        <f t="shared" si="2"/>
        <v>3</v>
      </c>
      <c r="H128" t="str">
        <f t="shared" si="2"/>
        <v>4</v>
      </c>
      <c r="I128" t="str">
        <f t="shared" si="2"/>
        <v>5</v>
      </c>
      <c r="J128" t="str">
        <f t="shared" si="2"/>
        <v>3</v>
      </c>
      <c r="K128" t="str">
        <f t="shared" si="2"/>
        <v>3</v>
      </c>
    </row>
    <row r="129" spans="3:11" x14ac:dyDescent="0.2">
      <c r="C129" t="str">
        <f t="shared" si="1"/>
        <v>6</v>
      </c>
      <c r="D129" t="str">
        <f t="shared" si="2"/>
        <v>3</v>
      </c>
      <c r="E129" t="str">
        <f t="shared" si="2"/>
        <v>3</v>
      </c>
      <c r="F129" t="str">
        <f t="shared" si="2"/>
        <v>6</v>
      </c>
      <c r="G129" t="str">
        <f t="shared" si="2"/>
        <v>3</v>
      </c>
      <c r="H129" t="str">
        <f t="shared" si="2"/>
        <v>7</v>
      </c>
      <c r="I129" t="str">
        <f t="shared" si="2"/>
        <v>3</v>
      </c>
      <c r="J129" t="str">
        <f t="shared" si="2"/>
        <v>3</v>
      </c>
      <c r="K129" t="str">
        <f t="shared" si="2"/>
        <v>7</v>
      </c>
    </row>
    <row r="130" spans="3:11" x14ac:dyDescent="0.2">
      <c r="C130" t="str">
        <f t="shared" si="1"/>
        <v>3</v>
      </c>
      <c r="D130" t="str">
        <f t="shared" si="2"/>
        <v>3</v>
      </c>
      <c r="E130" t="str">
        <f t="shared" si="2"/>
        <v>2</v>
      </c>
      <c r="F130" t="str">
        <f t="shared" si="2"/>
        <v>2</v>
      </c>
      <c r="G130" t="str">
        <f t="shared" si="2"/>
        <v>1</v>
      </c>
      <c r="H130" t="str">
        <f t="shared" si="2"/>
        <v>2</v>
      </c>
      <c r="I130" t="str">
        <f t="shared" si="2"/>
        <v>3</v>
      </c>
      <c r="J130" t="str">
        <f t="shared" si="2"/>
        <v>1</v>
      </c>
      <c r="K130" t="str">
        <f t="shared" si="2"/>
        <v>2</v>
      </c>
    </row>
    <row r="131" spans="3:11" x14ac:dyDescent="0.2">
      <c r="C131" t="str">
        <f t="shared" si="1"/>
        <v>2</v>
      </c>
      <c r="D131" t="str">
        <f t="shared" ref="D131:K146" si="3">LEFT(D42,FIND(".",D42)-1)</f>
        <v>3</v>
      </c>
      <c r="E131" t="str">
        <f t="shared" si="3"/>
        <v>2</v>
      </c>
      <c r="F131" t="str">
        <f t="shared" si="3"/>
        <v>2</v>
      </c>
      <c r="G131" t="str">
        <f t="shared" si="3"/>
        <v>2</v>
      </c>
      <c r="H131" t="str">
        <f t="shared" si="3"/>
        <v>3</v>
      </c>
      <c r="I131" t="str">
        <f t="shared" si="3"/>
        <v>3</v>
      </c>
      <c r="J131" t="str">
        <f t="shared" si="3"/>
        <v>2</v>
      </c>
      <c r="K131" t="str">
        <f t="shared" si="3"/>
        <v>2</v>
      </c>
    </row>
    <row r="132" spans="3:11" x14ac:dyDescent="0.2">
      <c r="C132" t="str">
        <f t="shared" si="1"/>
        <v>7</v>
      </c>
      <c r="D132" t="str">
        <f t="shared" si="3"/>
        <v>4</v>
      </c>
      <c r="E132" t="str">
        <f t="shared" si="3"/>
        <v>3</v>
      </c>
      <c r="F132" t="str">
        <f t="shared" si="3"/>
        <v>6</v>
      </c>
      <c r="G132" t="str">
        <f t="shared" si="3"/>
        <v>1</v>
      </c>
      <c r="H132" t="str">
        <f t="shared" si="3"/>
        <v>5</v>
      </c>
      <c r="I132" t="str">
        <f t="shared" si="3"/>
        <v>1</v>
      </c>
      <c r="J132" t="str">
        <f t="shared" si="3"/>
        <v>2</v>
      </c>
      <c r="K132" t="str">
        <f t="shared" si="3"/>
        <v>3</v>
      </c>
    </row>
    <row r="133" spans="3:11" x14ac:dyDescent="0.2">
      <c r="C133" t="str">
        <f t="shared" si="1"/>
        <v>1</v>
      </c>
      <c r="D133" t="str">
        <f t="shared" si="3"/>
        <v>3</v>
      </c>
      <c r="E133" t="str">
        <f t="shared" si="3"/>
        <v>3</v>
      </c>
      <c r="F133" t="str">
        <f t="shared" si="3"/>
        <v>5</v>
      </c>
      <c r="G133" t="str">
        <f t="shared" si="3"/>
        <v>7</v>
      </c>
      <c r="H133" t="str">
        <f t="shared" si="3"/>
        <v>2</v>
      </c>
      <c r="I133" t="str">
        <f t="shared" si="3"/>
        <v>1</v>
      </c>
      <c r="J133" t="str">
        <f t="shared" si="3"/>
        <v>6</v>
      </c>
      <c r="K133" t="str">
        <f t="shared" si="3"/>
        <v>7</v>
      </c>
    </row>
    <row r="134" spans="3:11" x14ac:dyDescent="0.2">
      <c r="C134" t="str">
        <f t="shared" si="1"/>
        <v>3</v>
      </c>
      <c r="D134" t="str">
        <f t="shared" si="3"/>
        <v>5</v>
      </c>
      <c r="E134" t="str">
        <f t="shared" si="3"/>
        <v>5</v>
      </c>
      <c r="F134" t="str">
        <f t="shared" si="3"/>
        <v>6</v>
      </c>
      <c r="G134" t="str">
        <f t="shared" si="3"/>
        <v>3</v>
      </c>
      <c r="H134" t="str">
        <f t="shared" si="3"/>
        <v>6</v>
      </c>
      <c r="I134" t="str">
        <f t="shared" si="3"/>
        <v>7</v>
      </c>
      <c r="J134" t="str">
        <f t="shared" si="3"/>
        <v>3</v>
      </c>
      <c r="K134" t="str">
        <f t="shared" si="3"/>
        <v>6</v>
      </c>
    </row>
    <row r="135" spans="3:11" x14ac:dyDescent="0.2">
      <c r="C135" t="str">
        <f t="shared" si="1"/>
        <v>6</v>
      </c>
      <c r="D135" t="str">
        <f t="shared" si="3"/>
        <v>3</v>
      </c>
      <c r="E135" t="str">
        <f t="shared" si="3"/>
        <v>4</v>
      </c>
      <c r="F135" t="str">
        <f t="shared" si="3"/>
        <v>4</v>
      </c>
      <c r="G135" t="str">
        <f t="shared" si="3"/>
        <v>2</v>
      </c>
      <c r="H135" t="str">
        <f t="shared" si="3"/>
        <v>3</v>
      </c>
      <c r="I135" t="str">
        <f t="shared" si="3"/>
        <v>4</v>
      </c>
      <c r="J135" t="str">
        <f t="shared" si="3"/>
        <v>4</v>
      </c>
      <c r="K135" t="str">
        <f t="shared" si="3"/>
        <v>3</v>
      </c>
    </row>
    <row r="136" spans="3:11" x14ac:dyDescent="0.2">
      <c r="C136" t="str">
        <f t="shared" si="1"/>
        <v>3</v>
      </c>
      <c r="D136" t="str">
        <f t="shared" si="3"/>
        <v>2</v>
      </c>
      <c r="E136" t="str">
        <f t="shared" si="3"/>
        <v>4</v>
      </c>
      <c r="F136" t="str">
        <f t="shared" si="3"/>
        <v>2</v>
      </c>
      <c r="G136" t="str">
        <f t="shared" si="3"/>
        <v>4</v>
      </c>
      <c r="H136" t="str">
        <f t="shared" si="3"/>
        <v>4</v>
      </c>
      <c r="I136" t="str">
        <f t="shared" si="3"/>
        <v>3</v>
      </c>
      <c r="J136" t="str">
        <f t="shared" si="3"/>
        <v>2</v>
      </c>
      <c r="K136" t="str">
        <f t="shared" si="3"/>
        <v>1</v>
      </c>
    </row>
    <row r="137" spans="3:11" x14ac:dyDescent="0.2">
      <c r="C137" t="str">
        <f t="shared" si="1"/>
        <v>1</v>
      </c>
      <c r="D137" t="str">
        <f t="shared" si="3"/>
        <v>2</v>
      </c>
      <c r="E137" t="str">
        <f t="shared" si="3"/>
        <v>7</v>
      </c>
      <c r="F137" t="str">
        <f t="shared" si="3"/>
        <v>1</v>
      </c>
      <c r="G137" t="str">
        <f t="shared" si="3"/>
        <v>3</v>
      </c>
      <c r="H137" t="str">
        <f t="shared" si="3"/>
        <v>4</v>
      </c>
      <c r="I137" t="str">
        <f t="shared" si="3"/>
        <v>2</v>
      </c>
      <c r="J137" t="str">
        <f t="shared" si="3"/>
        <v>3</v>
      </c>
      <c r="K137" t="str">
        <f t="shared" si="3"/>
        <v>2</v>
      </c>
    </row>
    <row r="138" spans="3:11" x14ac:dyDescent="0.2">
      <c r="C138" t="str">
        <f t="shared" si="1"/>
        <v>3</v>
      </c>
      <c r="D138" t="str">
        <f t="shared" si="3"/>
        <v>3</v>
      </c>
      <c r="E138" t="str">
        <f t="shared" si="3"/>
        <v>2</v>
      </c>
      <c r="F138" t="str">
        <f t="shared" si="3"/>
        <v>2</v>
      </c>
      <c r="G138" t="str">
        <f t="shared" si="3"/>
        <v>1</v>
      </c>
      <c r="H138" t="str">
        <f t="shared" si="3"/>
        <v>3</v>
      </c>
      <c r="I138" t="str">
        <f t="shared" si="3"/>
        <v>3</v>
      </c>
      <c r="J138" t="str">
        <f t="shared" si="3"/>
        <v>3</v>
      </c>
      <c r="K138" t="str">
        <f t="shared" si="3"/>
        <v>3</v>
      </c>
    </row>
    <row r="139" spans="3:11" x14ac:dyDescent="0.2">
      <c r="C139" t="str">
        <f t="shared" si="1"/>
        <v>3</v>
      </c>
      <c r="D139" t="str">
        <f t="shared" si="3"/>
        <v>3</v>
      </c>
      <c r="E139" t="str">
        <f t="shared" si="3"/>
        <v>4</v>
      </c>
      <c r="F139" t="str">
        <f t="shared" si="3"/>
        <v>5</v>
      </c>
      <c r="G139" t="str">
        <f t="shared" si="3"/>
        <v>2</v>
      </c>
      <c r="H139" t="str">
        <f t="shared" si="3"/>
        <v>4</v>
      </c>
      <c r="I139" t="str">
        <f t="shared" si="3"/>
        <v>3</v>
      </c>
      <c r="J139" t="str">
        <f t="shared" si="3"/>
        <v>2</v>
      </c>
      <c r="K139" t="str">
        <f t="shared" si="3"/>
        <v>2</v>
      </c>
    </row>
    <row r="140" spans="3:11" x14ac:dyDescent="0.2">
      <c r="C140" t="str">
        <f t="shared" si="1"/>
        <v>1</v>
      </c>
      <c r="D140" t="str">
        <f t="shared" si="3"/>
        <v>5</v>
      </c>
      <c r="E140" t="str">
        <f t="shared" si="3"/>
        <v>7</v>
      </c>
      <c r="F140" t="str">
        <f t="shared" si="3"/>
        <v>6</v>
      </c>
      <c r="G140" t="str">
        <f t="shared" si="3"/>
        <v>3</v>
      </c>
      <c r="H140" t="str">
        <f t="shared" si="3"/>
        <v>4</v>
      </c>
      <c r="I140" t="str">
        <f t="shared" si="3"/>
        <v>7</v>
      </c>
      <c r="J140" t="str">
        <f t="shared" si="3"/>
        <v>5</v>
      </c>
      <c r="K140" t="str">
        <f t="shared" si="3"/>
        <v>7</v>
      </c>
    </row>
    <row r="141" spans="3:11" x14ac:dyDescent="0.2">
      <c r="C141" t="str">
        <f t="shared" si="1"/>
        <v>3</v>
      </c>
      <c r="D141" t="str">
        <f t="shared" si="3"/>
        <v>4</v>
      </c>
      <c r="E141" t="str">
        <f t="shared" si="3"/>
        <v>3</v>
      </c>
      <c r="F141" t="str">
        <f t="shared" si="3"/>
        <v>3</v>
      </c>
      <c r="G141" t="str">
        <f t="shared" si="3"/>
        <v>2</v>
      </c>
      <c r="H141" t="str">
        <f t="shared" si="3"/>
        <v>3</v>
      </c>
      <c r="I141" t="str">
        <f t="shared" si="3"/>
        <v>2</v>
      </c>
      <c r="J141" t="str">
        <f t="shared" si="3"/>
        <v>2</v>
      </c>
      <c r="K141" t="str">
        <f t="shared" si="3"/>
        <v>3</v>
      </c>
    </row>
    <row r="142" spans="3:11" x14ac:dyDescent="0.2">
      <c r="C142" t="str">
        <f t="shared" si="1"/>
        <v>6</v>
      </c>
      <c r="D142" t="str">
        <f t="shared" si="3"/>
        <v>3</v>
      </c>
      <c r="E142" t="str">
        <f t="shared" si="3"/>
        <v>5</v>
      </c>
      <c r="F142" t="str">
        <f t="shared" si="3"/>
        <v>4</v>
      </c>
      <c r="G142" t="str">
        <f t="shared" si="3"/>
        <v>7</v>
      </c>
      <c r="H142" t="str">
        <f t="shared" si="3"/>
        <v>5</v>
      </c>
      <c r="I142" t="str">
        <f t="shared" si="3"/>
        <v>7</v>
      </c>
      <c r="J142" t="str">
        <f t="shared" si="3"/>
        <v>3</v>
      </c>
      <c r="K142" t="str">
        <f t="shared" si="3"/>
        <v>7</v>
      </c>
    </row>
    <row r="143" spans="3:11" x14ac:dyDescent="0.2">
      <c r="C143" t="str">
        <f t="shared" si="1"/>
        <v>7</v>
      </c>
      <c r="D143" t="str">
        <f t="shared" si="3"/>
        <v>2</v>
      </c>
      <c r="E143" t="str">
        <f t="shared" si="3"/>
        <v>4</v>
      </c>
      <c r="F143" t="str">
        <f t="shared" si="3"/>
        <v>3</v>
      </c>
      <c r="G143" t="str">
        <f t="shared" si="3"/>
        <v>1</v>
      </c>
      <c r="H143" t="str">
        <f t="shared" si="3"/>
        <v>3</v>
      </c>
      <c r="I143" t="str">
        <f t="shared" si="3"/>
        <v>3</v>
      </c>
      <c r="J143" t="str">
        <f t="shared" si="3"/>
        <v>3</v>
      </c>
      <c r="K143" t="str">
        <f t="shared" si="3"/>
        <v>3</v>
      </c>
    </row>
    <row r="144" spans="3:11" x14ac:dyDescent="0.2">
      <c r="C144" t="str">
        <f t="shared" si="1"/>
        <v>3</v>
      </c>
      <c r="D144" t="str">
        <f t="shared" si="3"/>
        <v>5</v>
      </c>
      <c r="E144" t="str">
        <f t="shared" si="3"/>
        <v>2</v>
      </c>
      <c r="F144" t="str">
        <f t="shared" si="3"/>
        <v>4</v>
      </c>
      <c r="G144" t="str">
        <f t="shared" si="3"/>
        <v>5</v>
      </c>
      <c r="H144" t="str">
        <f t="shared" si="3"/>
        <v>6</v>
      </c>
      <c r="I144" t="str">
        <f t="shared" si="3"/>
        <v>2</v>
      </c>
      <c r="J144" t="str">
        <f t="shared" si="3"/>
        <v>1</v>
      </c>
      <c r="K144" t="str">
        <f t="shared" si="3"/>
        <v>4</v>
      </c>
    </row>
    <row r="145" spans="3:11" x14ac:dyDescent="0.2">
      <c r="C145" t="str">
        <f t="shared" si="1"/>
        <v>7</v>
      </c>
      <c r="D145" t="str">
        <f t="shared" si="3"/>
        <v>4</v>
      </c>
      <c r="E145" t="str">
        <f t="shared" si="3"/>
        <v>3</v>
      </c>
      <c r="F145" t="str">
        <f t="shared" si="3"/>
        <v>5</v>
      </c>
      <c r="G145" t="str">
        <f t="shared" si="3"/>
        <v>5</v>
      </c>
      <c r="H145" t="str">
        <f t="shared" si="3"/>
        <v>5</v>
      </c>
      <c r="I145" t="str">
        <f t="shared" si="3"/>
        <v>4</v>
      </c>
      <c r="J145" t="str">
        <f t="shared" si="3"/>
        <v>3</v>
      </c>
      <c r="K145" t="str">
        <f t="shared" si="3"/>
        <v>3</v>
      </c>
    </row>
    <row r="146" spans="3:11" x14ac:dyDescent="0.2">
      <c r="C146" t="str">
        <f t="shared" si="1"/>
        <v>4</v>
      </c>
      <c r="D146" t="str">
        <f t="shared" si="3"/>
        <v>3</v>
      </c>
      <c r="E146" t="str">
        <f t="shared" si="3"/>
        <v>2</v>
      </c>
      <c r="F146" t="str">
        <f t="shared" si="3"/>
        <v>3</v>
      </c>
      <c r="G146" t="str">
        <f t="shared" si="3"/>
        <v>2</v>
      </c>
      <c r="H146" t="str">
        <f t="shared" si="3"/>
        <v>2</v>
      </c>
      <c r="I146" t="str">
        <f t="shared" si="3"/>
        <v>2</v>
      </c>
      <c r="J146" t="str">
        <f t="shared" si="3"/>
        <v>1</v>
      </c>
      <c r="K146" t="str">
        <f t="shared" si="3"/>
        <v>2</v>
      </c>
    </row>
    <row r="147" spans="3:11" x14ac:dyDescent="0.2">
      <c r="C147" t="str">
        <f t="shared" si="1"/>
        <v>2</v>
      </c>
      <c r="D147" t="str">
        <f t="shared" ref="D147:K155" si="4">LEFT(D58,FIND(".",D58)-1)</f>
        <v>3</v>
      </c>
      <c r="E147" t="str">
        <f t="shared" si="4"/>
        <v>1</v>
      </c>
      <c r="F147" t="str">
        <f t="shared" si="4"/>
        <v>1</v>
      </c>
      <c r="G147" t="str">
        <f t="shared" si="4"/>
        <v>2</v>
      </c>
      <c r="H147" t="str">
        <f t="shared" si="4"/>
        <v>2</v>
      </c>
      <c r="I147" t="str">
        <f t="shared" si="4"/>
        <v>2</v>
      </c>
      <c r="J147" t="str">
        <f t="shared" si="4"/>
        <v>2</v>
      </c>
      <c r="K147" t="str">
        <f t="shared" si="4"/>
        <v>2</v>
      </c>
    </row>
    <row r="148" spans="3:11" x14ac:dyDescent="0.2">
      <c r="C148" t="str">
        <f t="shared" si="1"/>
        <v>3</v>
      </c>
      <c r="D148" t="str">
        <f t="shared" si="4"/>
        <v>3</v>
      </c>
      <c r="E148" t="str">
        <f t="shared" si="4"/>
        <v>4</v>
      </c>
      <c r="F148" t="str">
        <f t="shared" si="4"/>
        <v>5</v>
      </c>
      <c r="G148" t="str">
        <f t="shared" si="4"/>
        <v>1</v>
      </c>
      <c r="H148" t="str">
        <f t="shared" si="4"/>
        <v>3</v>
      </c>
      <c r="I148" t="str">
        <f t="shared" si="4"/>
        <v>2</v>
      </c>
      <c r="J148" t="str">
        <f t="shared" si="4"/>
        <v>1</v>
      </c>
      <c r="K148" t="str">
        <f t="shared" si="4"/>
        <v>3</v>
      </c>
    </row>
    <row r="149" spans="3:11" x14ac:dyDescent="0.2">
      <c r="C149" t="str">
        <f t="shared" si="1"/>
        <v>1</v>
      </c>
      <c r="D149" t="str">
        <f t="shared" si="4"/>
        <v>4</v>
      </c>
      <c r="E149" t="str">
        <f t="shared" si="4"/>
        <v>5</v>
      </c>
      <c r="F149" t="str">
        <f t="shared" si="4"/>
        <v>3</v>
      </c>
      <c r="G149" t="str">
        <f t="shared" si="4"/>
        <v>7</v>
      </c>
      <c r="H149" t="str">
        <f t="shared" si="4"/>
        <v>6</v>
      </c>
      <c r="I149" t="str">
        <f t="shared" si="4"/>
        <v>5</v>
      </c>
      <c r="J149" t="str">
        <f t="shared" si="4"/>
        <v>6</v>
      </c>
      <c r="K149" t="str">
        <f t="shared" si="4"/>
        <v>7</v>
      </c>
    </row>
    <row r="150" spans="3:11" x14ac:dyDescent="0.2">
      <c r="C150" t="str">
        <f t="shared" si="1"/>
        <v>4</v>
      </c>
      <c r="D150" t="str">
        <f t="shared" si="4"/>
        <v>5</v>
      </c>
      <c r="E150" t="str">
        <f t="shared" si="4"/>
        <v>5</v>
      </c>
      <c r="F150" t="str">
        <f t="shared" si="4"/>
        <v>4</v>
      </c>
      <c r="G150" t="str">
        <f t="shared" si="4"/>
        <v>2</v>
      </c>
      <c r="H150" t="str">
        <f t="shared" si="4"/>
        <v>4</v>
      </c>
      <c r="I150" t="str">
        <f t="shared" si="4"/>
        <v>3</v>
      </c>
      <c r="J150" t="str">
        <f t="shared" si="4"/>
        <v>1</v>
      </c>
      <c r="K150" t="str">
        <f t="shared" si="4"/>
        <v>3</v>
      </c>
    </row>
    <row r="151" spans="3:11" x14ac:dyDescent="0.2">
      <c r="C151" t="str">
        <f t="shared" si="1"/>
        <v>3</v>
      </c>
      <c r="D151" t="str">
        <f t="shared" si="4"/>
        <v>3</v>
      </c>
      <c r="E151" t="str">
        <f t="shared" si="4"/>
        <v>3</v>
      </c>
      <c r="F151" t="str">
        <f t="shared" si="4"/>
        <v>3</v>
      </c>
      <c r="G151" t="str">
        <f t="shared" si="4"/>
        <v>1</v>
      </c>
      <c r="H151" t="str">
        <f t="shared" si="4"/>
        <v>3</v>
      </c>
      <c r="I151" t="str">
        <f t="shared" si="4"/>
        <v>3</v>
      </c>
      <c r="J151" t="str">
        <f t="shared" si="4"/>
        <v>2</v>
      </c>
      <c r="K151" t="str">
        <f t="shared" si="4"/>
        <v>3</v>
      </c>
    </row>
    <row r="152" spans="3:11" x14ac:dyDescent="0.2">
      <c r="C152" t="str">
        <f t="shared" si="1"/>
        <v>4</v>
      </c>
      <c r="D152" t="str">
        <f t="shared" si="4"/>
        <v>3</v>
      </c>
      <c r="E152" t="str">
        <f t="shared" si="4"/>
        <v>3</v>
      </c>
      <c r="F152" t="str">
        <f t="shared" si="4"/>
        <v>4</v>
      </c>
      <c r="G152" t="str">
        <f t="shared" si="4"/>
        <v>3</v>
      </c>
      <c r="H152" t="str">
        <f t="shared" si="4"/>
        <v>3</v>
      </c>
      <c r="I152" t="str">
        <f t="shared" si="4"/>
        <v>4</v>
      </c>
      <c r="J152" t="str">
        <f t="shared" si="4"/>
        <v>3</v>
      </c>
      <c r="K152" t="str">
        <f t="shared" si="4"/>
        <v>3</v>
      </c>
    </row>
    <row r="153" spans="3:11" x14ac:dyDescent="0.2">
      <c r="C153" t="str">
        <f t="shared" si="1"/>
        <v>3</v>
      </c>
      <c r="D153" t="str">
        <f t="shared" si="4"/>
        <v>3</v>
      </c>
      <c r="E153" t="str">
        <f t="shared" si="4"/>
        <v>3</v>
      </c>
      <c r="F153" t="str">
        <f t="shared" si="4"/>
        <v>5</v>
      </c>
      <c r="G153" t="str">
        <f t="shared" si="4"/>
        <v>2</v>
      </c>
      <c r="H153" t="str">
        <f t="shared" si="4"/>
        <v>5</v>
      </c>
      <c r="I153" t="str">
        <f t="shared" si="4"/>
        <v>2</v>
      </c>
      <c r="J153" t="str">
        <f t="shared" si="4"/>
        <v>3</v>
      </c>
      <c r="K153" t="str">
        <f t="shared" si="4"/>
        <v>4</v>
      </c>
    </row>
    <row r="154" spans="3:11" x14ac:dyDescent="0.2">
      <c r="C154" t="str">
        <f t="shared" si="1"/>
        <v>3</v>
      </c>
      <c r="D154" t="str">
        <f t="shared" si="4"/>
        <v>3</v>
      </c>
      <c r="E154" t="str">
        <f t="shared" si="4"/>
        <v>3</v>
      </c>
      <c r="F154" t="str">
        <f t="shared" si="4"/>
        <v>3</v>
      </c>
      <c r="G154" t="str">
        <f t="shared" si="4"/>
        <v>2</v>
      </c>
      <c r="H154" t="str">
        <f t="shared" si="4"/>
        <v>4</v>
      </c>
      <c r="I154" t="str">
        <f t="shared" si="4"/>
        <v>3</v>
      </c>
      <c r="J154" t="str">
        <f t="shared" si="4"/>
        <v>3</v>
      </c>
      <c r="K154" t="str">
        <f t="shared" si="4"/>
        <v>3</v>
      </c>
    </row>
    <row r="155" spans="3:11" x14ac:dyDescent="0.2">
      <c r="C155" t="str">
        <f t="shared" si="1"/>
        <v>3</v>
      </c>
      <c r="D155" t="str">
        <f t="shared" si="4"/>
        <v>3</v>
      </c>
      <c r="E155" t="str">
        <f t="shared" si="4"/>
        <v>3</v>
      </c>
      <c r="F155" t="str">
        <f t="shared" si="4"/>
        <v>2</v>
      </c>
      <c r="G155" t="str">
        <f t="shared" si="4"/>
        <v>2</v>
      </c>
      <c r="H155" t="str">
        <f t="shared" si="4"/>
        <v>3</v>
      </c>
      <c r="I155" t="str">
        <f t="shared" si="4"/>
        <v>3</v>
      </c>
      <c r="J155" t="str">
        <f t="shared" si="4"/>
        <v>3</v>
      </c>
      <c r="K155" t="str">
        <f t="shared" si="4"/>
        <v>3</v>
      </c>
    </row>
    <row r="156" spans="3:11" x14ac:dyDescent="0.2">
      <c r="C156" t="str">
        <f t="shared" ref="C156:K176" si="5">LEFT(C67,FIND(".",C67)-1)</f>
        <v>3</v>
      </c>
      <c r="D156" t="str">
        <f t="shared" si="5"/>
        <v>3</v>
      </c>
      <c r="E156" t="str">
        <f t="shared" si="5"/>
        <v>2</v>
      </c>
      <c r="F156" t="str">
        <f t="shared" si="5"/>
        <v>3</v>
      </c>
      <c r="G156" t="str">
        <f t="shared" si="5"/>
        <v>1</v>
      </c>
      <c r="H156" t="str">
        <f t="shared" si="5"/>
        <v>2</v>
      </c>
      <c r="I156" t="str">
        <f t="shared" si="5"/>
        <v>2</v>
      </c>
      <c r="J156" t="str">
        <f t="shared" si="5"/>
        <v>1</v>
      </c>
      <c r="K156" t="str">
        <f t="shared" si="5"/>
        <v>2</v>
      </c>
    </row>
    <row r="157" spans="3:11" x14ac:dyDescent="0.2">
      <c r="C157" t="str">
        <f t="shared" si="5"/>
        <v>3</v>
      </c>
      <c r="D157" t="str">
        <f t="shared" si="5"/>
        <v>2</v>
      </c>
      <c r="E157" t="str">
        <f t="shared" si="5"/>
        <v>3</v>
      </c>
      <c r="F157" t="str">
        <f t="shared" si="5"/>
        <v>1</v>
      </c>
      <c r="G157" t="str">
        <f t="shared" si="5"/>
        <v>1</v>
      </c>
      <c r="H157" t="str">
        <f t="shared" si="5"/>
        <v>2</v>
      </c>
      <c r="I157" t="str">
        <f t="shared" si="5"/>
        <v>1</v>
      </c>
      <c r="J157" t="str">
        <f t="shared" si="5"/>
        <v>3</v>
      </c>
      <c r="K157" t="str">
        <f t="shared" si="5"/>
        <v>3</v>
      </c>
    </row>
    <row r="158" spans="3:11" x14ac:dyDescent="0.2">
      <c r="C158" t="str">
        <f t="shared" si="5"/>
        <v>3</v>
      </c>
      <c r="D158" t="str">
        <f t="shared" si="5"/>
        <v>3</v>
      </c>
      <c r="E158" t="str">
        <f t="shared" si="5"/>
        <v>3</v>
      </c>
      <c r="F158" t="str">
        <f t="shared" si="5"/>
        <v>3</v>
      </c>
      <c r="G158" t="str">
        <f t="shared" si="5"/>
        <v>2</v>
      </c>
      <c r="H158" t="str">
        <f t="shared" si="5"/>
        <v>3</v>
      </c>
      <c r="I158" t="str">
        <f t="shared" si="5"/>
        <v>2</v>
      </c>
      <c r="J158" t="str">
        <f t="shared" si="5"/>
        <v>1</v>
      </c>
      <c r="K158" t="str">
        <f t="shared" si="5"/>
        <v>2</v>
      </c>
    </row>
    <row r="159" spans="3:11" x14ac:dyDescent="0.2">
      <c r="C159" t="str">
        <f t="shared" si="5"/>
        <v>6</v>
      </c>
      <c r="D159" t="str">
        <f t="shared" si="5"/>
        <v>3</v>
      </c>
      <c r="E159" t="str">
        <f t="shared" si="5"/>
        <v>2</v>
      </c>
      <c r="F159" t="str">
        <f t="shared" si="5"/>
        <v>3</v>
      </c>
      <c r="G159" t="str">
        <f t="shared" si="5"/>
        <v>1</v>
      </c>
      <c r="H159" t="str">
        <f t="shared" si="5"/>
        <v>2</v>
      </c>
      <c r="I159" t="str">
        <f t="shared" si="5"/>
        <v>3</v>
      </c>
      <c r="J159" t="str">
        <f t="shared" si="5"/>
        <v>2</v>
      </c>
      <c r="K159" t="str">
        <f t="shared" si="5"/>
        <v>2</v>
      </c>
    </row>
    <row r="160" spans="3:11" x14ac:dyDescent="0.2">
      <c r="C160" t="str">
        <f t="shared" si="5"/>
        <v>4</v>
      </c>
      <c r="D160" t="str">
        <f t="shared" si="5"/>
        <v>3</v>
      </c>
      <c r="E160" t="str">
        <f t="shared" si="5"/>
        <v>2</v>
      </c>
      <c r="F160" t="str">
        <f t="shared" si="5"/>
        <v>4</v>
      </c>
      <c r="G160" t="str">
        <f t="shared" si="5"/>
        <v>2</v>
      </c>
      <c r="H160" t="str">
        <f t="shared" si="5"/>
        <v>3</v>
      </c>
      <c r="I160" t="str">
        <f t="shared" si="5"/>
        <v>3</v>
      </c>
      <c r="J160" t="str">
        <f t="shared" si="5"/>
        <v>2</v>
      </c>
      <c r="K160" t="str">
        <f t="shared" si="5"/>
        <v>2</v>
      </c>
    </row>
    <row r="161" spans="3:11" x14ac:dyDescent="0.2">
      <c r="C161" t="str">
        <f t="shared" si="5"/>
        <v>3</v>
      </c>
      <c r="D161" t="str">
        <f t="shared" si="5"/>
        <v>3</v>
      </c>
      <c r="E161" t="str">
        <f t="shared" si="5"/>
        <v>1</v>
      </c>
      <c r="F161" t="str">
        <f t="shared" si="5"/>
        <v>2</v>
      </c>
      <c r="G161" t="str">
        <f t="shared" si="5"/>
        <v>1</v>
      </c>
      <c r="H161" t="str">
        <f t="shared" si="5"/>
        <v>5</v>
      </c>
      <c r="I161" t="str">
        <f t="shared" si="5"/>
        <v>2</v>
      </c>
      <c r="J161" t="str">
        <f t="shared" si="5"/>
        <v>1</v>
      </c>
      <c r="K161" t="str">
        <f t="shared" si="5"/>
        <v>1</v>
      </c>
    </row>
    <row r="162" spans="3:11" x14ac:dyDescent="0.2">
      <c r="C162" t="str">
        <f t="shared" si="5"/>
        <v>3</v>
      </c>
      <c r="D162" t="str">
        <f t="shared" si="5"/>
        <v>3</v>
      </c>
      <c r="E162" t="str">
        <f t="shared" si="5"/>
        <v>3</v>
      </c>
      <c r="F162" t="str">
        <f t="shared" si="5"/>
        <v>3</v>
      </c>
      <c r="G162" t="str">
        <f t="shared" si="5"/>
        <v>3</v>
      </c>
      <c r="H162" t="str">
        <f t="shared" si="5"/>
        <v>3</v>
      </c>
      <c r="I162" t="str">
        <f t="shared" si="5"/>
        <v>4</v>
      </c>
      <c r="J162" t="str">
        <f t="shared" si="5"/>
        <v>3</v>
      </c>
      <c r="K162" t="str">
        <f t="shared" si="5"/>
        <v>3</v>
      </c>
    </row>
    <row r="163" spans="3:11" x14ac:dyDescent="0.2">
      <c r="C163" t="str">
        <f t="shared" si="5"/>
        <v>2</v>
      </c>
      <c r="D163" t="str">
        <f t="shared" si="5"/>
        <v>3</v>
      </c>
      <c r="E163" t="str">
        <f t="shared" si="5"/>
        <v>2</v>
      </c>
      <c r="F163" t="str">
        <f t="shared" si="5"/>
        <v>2</v>
      </c>
      <c r="G163" t="str">
        <f t="shared" si="5"/>
        <v>1</v>
      </c>
      <c r="H163" t="str">
        <f t="shared" si="5"/>
        <v>2</v>
      </c>
      <c r="I163" t="str">
        <f t="shared" si="5"/>
        <v>2</v>
      </c>
      <c r="J163" t="str">
        <f t="shared" si="5"/>
        <v>2</v>
      </c>
      <c r="K163" t="str">
        <f t="shared" si="5"/>
        <v>1</v>
      </c>
    </row>
    <row r="164" spans="3:11" x14ac:dyDescent="0.2">
      <c r="C164" t="str">
        <f t="shared" si="5"/>
        <v>5</v>
      </c>
      <c r="D164" t="str">
        <f t="shared" si="5"/>
        <v>3</v>
      </c>
      <c r="E164" t="str">
        <f t="shared" si="5"/>
        <v>3</v>
      </c>
      <c r="F164" t="str">
        <f t="shared" si="5"/>
        <v>5</v>
      </c>
      <c r="G164" t="str">
        <f t="shared" si="5"/>
        <v>4</v>
      </c>
      <c r="H164" t="str">
        <f t="shared" si="5"/>
        <v>5</v>
      </c>
      <c r="I164" t="str">
        <f t="shared" si="5"/>
        <v>4</v>
      </c>
      <c r="J164" t="str">
        <f t="shared" si="5"/>
        <v>4</v>
      </c>
      <c r="K164" t="str">
        <f t="shared" si="5"/>
        <v>3</v>
      </c>
    </row>
    <row r="165" spans="3:11" x14ac:dyDescent="0.2">
      <c r="C165" t="str">
        <f t="shared" si="5"/>
        <v>7</v>
      </c>
      <c r="D165" t="str">
        <f t="shared" si="5"/>
        <v>3</v>
      </c>
      <c r="E165" t="str">
        <f t="shared" si="5"/>
        <v>5</v>
      </c>
      <c r="F165" t="str">
        <f t="shared" si="5"/>
        <v>5</v>
      </c>
      <c r="G165" t="str">
        <f t="shared" si="5"/>
        <v>3</v>
      </c>
      <c r="H165" t="str">
        <f t="shared" si="5"/>
        <v>3</v>
      </c>
      <c r="I165" t="str">
        <f t="shared" si="5"/>
        <v>6</v>
      </c>
      <c r="J165" t="str">
        <f t="shared" si="5"/>
        <v>6</v>
      </c>
      <c r="K165" t="str">
        <f t="shared" si="5"/>
        <v>6</v>
      </c>
    </row>
    <row r="166" spans="3:11" x14ac:dyDescent="0.2">
      <c r="C166" t="str">
        <f t="shared" si="5"/>
        <v>2</v>
      </c>
      <c r="D166" t="str">
        <f t="shared" si="5"/>
        <v>3</v>
      </c>
      <c r="E166" t="str">
        <f t="shared" si="5"/>
        <v>2</v>
      </c>
      <c r="F166" t="str">
        <f t="shared" si="5"/>
        <v>2</v>
      </c>
      <c r="G166" t="str">
        <f t="shared" si="5"/>
        <v>1</v>
      </c>
      <c r="H166" t="str">
        <f t="shared" si="5"/>
        <v>2</v>
      </c>
      <c r="I166" t="str">
        <f t="shared" si="5"/>
        <v>2</v>
      </c>
      <c r="J166" t="str">
        <f t="shared" si="5"/>
        <v>1</v>
      </c>
      <c r="K166" t="str">
        <f t="shared" si="5"/>
        <v>1</v>
      </c>
    </row>
    <row r="167" spans="3:11" x14ac:dyDescent="0.2">
      <c r="C167" t="str">
        <f t="shared" si="5"/>
        <v>7</v>
      </c>
      <c r="D167" t="str">
        <f t="shared" si="5"/>
        <v>3</v>
      </c>
      <c r="E167" t="str">
        <f t="shared" si="5"/>
        <v>3</v>
      </c>
      <c r="F167" t="str">
        <f t="shared" si="5"/>
        <v>6</v>
      </c>
      <c r="G167" t="str">
        <f t="shared" si="5"/>
        <v>2</v>
      </c>
      <c r="H167" t="str">
        <f t="shared" si="5"/>
        <v>4</v>
      </c>
      <c r="I167" t="str">
        <f t="shared" si="5"/>
        <v>4</v>
      </c>
      <c r="J167" t="str">
        <f t="shared" si="5"/>
        <v>7</v>
      </c>
      <c r="K167" t="str">
        <f t="shared" si="5"/>
        <v>6</v>
      </c>
    </row>
    <row r="168" spans="3:11" x14ac:dyDescent="0.2">
      <c r="C168" t="str">
        <f t="shared" si="5"/>
        <v>6</v>
      </c>
      <c r="D168" t="str">
        <f t="shared" si="5"/>
        <v>4</v>
      </c>
      <c r="E168" t="str">
        <f t="shared" si="5"/>
        <v>4</v>
      </c>
      <c r="F168" t="str">
        <f t="shared" si="5"/>
        <v>5</v>
      </c>
      <c r="G168" t="str">
        <f t="shared" si="5"/>
        <v>5</v>
      </c>
      <c r="H168" t="str">
        <f t="shared" si="5"/>
        <v>4</v>
      </c>
      <c r="I168" t="str">
        <f t="shared" si="5"/>
        <v>4</v>
      </c>
      <c r="J168" t="str">
        <f t="shared" si="5"/>
        <v>3</v>
      </c>
      <c r="K168" t="str">
        <f t="shared" si="5"/>
        <v>5</v>
      </c>
    </row>
    <row r="169" spans="3:11" x14ac:dyDescent="0.2">
      <c r="C169" t="str">
        <f t="shared" si="5"/>
        <v>5</v>
      </c>
      <c r="D169" t="str">
        <f t="shared" si="5"/>
        <v>3</v>
      </c>
      <c r="E169" t="str">
        <f t="shared" si="5"/>
        <v>3</v>
      </c>
      <c r="F169" t="str">
        <f t="shared" si="5"/>
        <v>4</v>
      </c>
      <c r="G169" t="str">
        <f t="shared" si="5"/>
        <v>6</v>
      </c>
      <c r="H169" t="str">
        <f t="shared" si="5"/>
        <v>7</v>
      </c>
      <c r="I169" t="str">
        <f t="shared" si="5"/>
        <v>7</v>
      </c>
      <c r="J169" t="str">
        <f t="shared" si="5"/>
        <v>7</v>
      </c>
      <c r="K169" t="str">
        <f t="shared" si="5"/>
        <v>7</v>
      </c>
    </row>
    <row r="170" spans="3:11" x14ac:dyDescent="0.2">
      <c r="C170" t="str">
        <f t="shared" si="5"/>
        <v>4</v>
      </c>
      <c r="D170" t="str">
        <f t="shared" si="5"/>
        <v>3</v>
      </c>
      <c r="E170" t="str">
        <f t="shared" si="5"/>
        <v>2</v>
      </c>
      <c r="F170" t="str">
        <f t="shared" si="5"/>
        <v>7</v>
      </c>
      <c r="G170" t="str">
        <f t="shared" si="5"/>
        <v>1</v>
      </c>
      <c r="H170" t="str">
        <f t="shared" si="5"/>
        <v>4</v>
      </c>
      <c r="I170" t="str">
        <f t="shared" si="5"/>
        <v>7</v>
      </c>
      <c r="J170" t="str">
        <f t="shared" si="5"/>
        <v>5</v>
      </c>
      <c r="K170" t="str">
        <f t="shared" si="5"/>
        <v>6</v>
      </c>
    </row>
    <row r="171" spans="3:11" x14ac:dyDescent="0.2">
      <c r="C171" t="str">
        <f t="shared" si="5"/>
        <v>2</v>
      </c>
      <c r="D171" t="str">
        <f t="shared" si="5"/>
        <v>3</v>
      </c>
      <c r="E171" t="str">
        <f t="shared" si="5"/>
        <v>3</v>
      </c>
      <c r="F171" t="str">
        <f t="shared" si="5"/>
        <v>2</v>
      </c>
      <c r="G171" t="str">
        <f t="shared" si="5"/>
        <v>2</v>
      </c>
      <c r="H171" t="str">
        <f t="shared" si="5"/>
        <v>2</v>
      </c>
      <c r="I171" t="str">
        <f t="shared" si="5"/>
        <v>2</v>
      </c>
      <c r="J171" t="str">
        <f t="shared" si="5"/>
        <v>3</v>
      </c>
      <c r="K171" t="str">
        <f t="shared" si="5"/>
        <v>3</v>
      </c>
    </row>
    <row r="172" spans="3:11" x14ac:dyDescent="0.2">
      <c r="C172" t="str">
        <f t="shared" si="5"/>
        <v>3</v>
      </c>
      <c r="D172" t="str">
        <f t="shared" si="5"/>
        <v>3</v>
      </c>
      <c r="E172" t="str">
        <f t="shared" si="5"/>
        <v>1</v>
      </c>
      <c r="F172" t="str">
        <f t="shared" si="5"/>
        <v>4</v>
      </c>
      <c r="G172" t="str">
        <f t="shared" si="5"/>
        <v>1</v>
      </c>
      <c r="H172" t="str">
        <f t="shared" si="5"/>
        <v>2</v>
      </c>
      <c r="I172" t="str">
        <f t="shared" si="5"/>
        <v>2</v>
      </c>
      <c r="J172" t="str">
        <f t="shared" si="5"/>
        <v>2</v>
      </c>
      <c r="K172" t="str">
        <f t="shared" si="5"/>
        <v>2</v>
      </c>
    </row>
    <row r="173" spans="3:11" x14ac:dyDescent="0.2">
      <c r="C173" t="str">
        <f t="shared" si="5"/>
        <v>5</v>
      </c>
      <c r="D173" t="str">
        <f t="shared" si="5"/>
        <v>6</v>
      </c>
      <c r="E173" t="str">
        <f t="shared" si="5"/>
        <v>2</v>
      </c>
      <c r="F173" t="str">
        <f t="shared" si="5"/>
        <v>2</v>
      </c>
      <c r="G173" t="str">
        <f t="shared" si="5"/>
        <v>3</v>
      </c>
      <c r="H173" t="str">
        <f t="shared" si="5"/>
        <v>3</v>
      </c>
      <c r="I173" t="str">
        <f t="shared" si="5"/>
        <v>2</v>
      </c>
      <c r="J173" t="str">
        <f t="shared" si="5"/>
        <v>1</v>
      </c>
      <c r="K173" t="str">
        <f t="shared" si="5"/>
        <v>2</v>
      </c>
    </row>
    <row r="174" spans="3:11" x14ac:dyDescent="0.2">
      <c r="C174" t="str">
        <f t="shared" si="5"/>
        <v>7</v>
      </c>
      <c r="D174" t="str">
        <f t="shared" si="5"/>
        <v>5</v>
      </c>
      <c r="E174" t="str">
        <f t="shared" si="5"/>
        <v>5</v>
      </c>
      <c r="F174" t="str">
        <f t="shared" si="5"/>
        <v>4</v>
      </c>
      <c r="G174" t="str">
        <f t="shared" si="5"/>
        <v>4</v>
      </c>
      <c r="H174" t="str">
        <f t="shared" si="5"/>
        <v>5</v>
      </c>
      <c r="I174" t="str">
        <f t="shared" si="5"/>
        <v>5</v>
      </c>
      <c r="J174" t="str">
        <f t="shared" si="5"/>
        <v>5</v>
      </c>
      <c r="K174" t="str">
        <f t="shared" si="5"/>
        <v>4</v>
      </c>
    </row>
    <row r="175" spans="3:11" x14ac:dyDescent="0.2">
      <c r="C175" t="str">
        <f t="shared" si="5"/>
        <v>3</v>
      </c>
      <c r="D175" t="str">
        <f t="shared" si="5"/>
        <v>2</v>
      </c>
      <c r="E175" t="str">
        <f t="shared" si="5"/>
        <v>4</v>
      </c>
      <c r="F175" t="str">
        <f t="shared" si="5"/>
        <v>3</v>
      </c>
      <c r="G175" t="str">
        <f t="shared" si="5"/>
        <v>1</v>
      </c>
      <c r="H175" t="str">
        <f t="shared" si="5"/>
        <v>2</v>
      </c>
      <c r="I175" t="str">
        <f t="shared" si="5"/>
        <v>1</v>
      </c>
      <c r="J175" t="str">
        <f t="shared" si="5"/>
        <v>3</v>
      </c>
      <c r="K175" t="str">
        <f t="shared" si="5"/>
        <v>1</v>
      </c>
    </row>
    <row r="176" spans="3:11" x14ac:dyDescent="0.2">
      <c r="C176" t="str">
        <f t="shared" si="5"/>
        <v>2</v>
      </c>
      <c r="D176" t="str">
        <f t="shared" si="5"/>
        <v>3</v>
      </c>
      <c r="E176" t="str">
        <f t="shared" si="5"/>
        <v>1</v>
      </c>
      <c r="F176" t="str">
        <f t="shared" si="5"/>
        <v>3</v>
      </c>
      <c r="G176" t="str">
        <f t="shared" si="5"/>
        <v>2</v>
      </c>
      <c r="H176" t="str">
        <f t="shared" si="5"/>
        <v>2</v>
      </c>
      <c r="I176" t="str">
        <f t="shared" si="5"/>
        <v>2</v>
      </c>
      <c r="J176" t="str">
        <f t="shared" si="5"/>
        <v>1</v>
      </c>
      <c r="K176" t="str">
        <f t="shared" si="5"/>
        <v>2</v>
      </c>
    </row>
  </sheetData>
  <autoFilter ref="A1:K97" xr:uid="{7A1E8CF2-FE7F-A846-AF71-B805D09C836D}">
    <sortState xmlns:xlrd2="http://schemas.microsoft.com/office/spreadsheetml/2017/richdata2" ref="A2:K97">
      <sortCondition ref="B1:B9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BBD5-56A9-ED43-96CD-4DBAF46808D7}">
  <dimension ref="A1:W117"/>
  <sheetViews>
    <sheetView topLeftCell="A92" workbookViewId="0">
      <selection activeCell="C120" sqref="C120"/>
    </sheetView>
  </sheetViews>
  <sheetFormatPr defaultColWidth="11.42578125" defaultRowHeight="12.75" x14ac:dyDescent="0.2"/>
  <cols>
    <col min="3" max="3" width="21.42578125" customWidth="1"/>
    <col min="4" max="4" width="14.7109375" customWidth="1"/>
  </cols>
  <sheetData>
    <row r="1" spans="1:22" x14ac:dyDescent="0.2">
      <c r="C1" s="28" t="s">
        <v>350</v>
      </c>
      <c r="D1" s="29"/>
      <c r="E1" s="29"/>
      <c r="F1" s="29"/>
      <c r="G1" s="29"/>
      <c r="H1" s="29"/>
      <c r="I1" s="29"/>
      <c r="J1" s="29"/>
      <c r="K1" s="29"/>
      <c r="N1" s="28" t="s">
        <v>351</v>
      </c>
      <c r="O1" s="29"/>
      <c r="P1" s="29"/>
      <c r="Q1" s="29"/>
      <c r="R1" s="29"/>
      <c r="S1" s="29"/>
      <c r="T1" s="29"/>
      <c r="U1" s="29"/>
      <c r="V1" s="29"/>
    </row>
    <row r="2" spans="1:22" x14ac:dyDescent="0.2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3" t="s">
        <v>12</v>
      </c>
    </row>
    <row r="3" spans="1:22" x14ac:dyDescent="0.2">
      <c r="A3" s="8" t="s">
        <v>184</v>
      </c>
      <c r="B3" s="8" t="s">
        <v>185</v>
      </c>
      <c r="C3">
        <v>5</v>
      </c>
      <c r="D3">
        <v>2</v>
      </c>
      <c r="E3">
        <v>3</v>
      </c>
      <c r="F3">
        <v>3</v>
      </c>
      <c r="G3">
        <v>2</v>
      </c>
      <c r="H3">
        <v>2</v>
      </c>
      <c r="I3">
        <v>2</v>
      </c>
      <c r="J3">
        <v>1</v>
      </c>
      <c r="K3">
        <v>1</v>
      </c>
      <c r="N3">
        <v>6</v>
      </c>
      <c r="O3">
        <v>5</v>
      </c>
      <c r="P3">
        <v>5</v>
      </c>
      <c r="Q3">
        <v>6</v>
      </c>
      <c r="R3">
        <v>4</v>
      </c>
      <c r="S3">
        <v>5</v>
      </c>
      <c r="T3">
        <v>4</v>
      </c>
      <c r="U3">
        <v>3</v>
      </c>
      <c r="V3">
        <v>4</v>
      </c>
    </row>
    <row r="4" spans="1:22" x14ac:dyDescent="0.2">
      <c r="A4" s="5" t="s">
        <v>117</v>
      </c>
      <c r="B4" s="5" t="s">
        <v>118</v>
      </c>
      <c r="C4">
        <v>3</v>
      </c>
      <c r="D4">
        <v>3</v>
      </c>
      <c r="E4">
        <v>2</v>
      </c>
      <c r="F4">
        <v>2</v>
      </c>
      <c r="G4">
        <v>3</v>
      </c>
      <c r="H4">
        <v>2</v>
      </c>
      <c r="I4">
        <v>3</v>
      </c>
      <c r="J4">
        <v>3</v>
      </c>
      <c r="K4">
        <v>7</v>
      </c>
      <c r="N4">
        <v>5</v>
      </c>
      <c r="O4">
        <v>3</v>
      </c>
      <c r="P4">
        <v>3</v>
      </c>
      <c r="Q4">
        <v>5</v>
      </c>
      <c r="R4">
        <v>5</v>
      </c>
      <c r="S4">
        <v>7</v>
      </c>
      <c r="T4">
        <v>5</v>
      </c>
      <c r="U4">
        <v>4</v>
      </c>
      <c r="V4">
        <v>6</v>
      </c>
    </row>
    <row r="5" spans="1:22" x14ac:dyDescent="0.2">
      <c r="A5" s="8" t="s">
        <v>319</v>
      </c>
      <c r="B5" s="8" t="s">
        <v>320</v>
      </c>
      <c r="C5">
        <v>4</v>
      </c>
      <c r="D5">
        <v>4</v>
      </c>
      <c r="E5">
        <v>3</v>
      </c>
      <c r="F5">
        <v>3</v>
      </c>
      <c r="G5">
        <v>1</v>
      </c>
      <c r="H5">
        <v>3</v>
      </c>
      <c r="I5">
        <v>3</v>
      </c>
      <c r="J5">
        <v>2</v>
      </c>
      <c r="K5">
        <v>1</v>
      </c>
      <c r="N5">
        <v>5</v>
      </c>
      <c r="O5">
        <v>5</v>
      </c>
      <c r="P5">
        <v>4</v>
      </c>
      <c r="Q5">
        <v>6</v>
      </c>
      <c r="R5">
        <v>5</v>
      </c>
      <c r="S5">
        <v>5</v>
      </c>
      <c r="T5">
        <v>4</v>
      </c>
      <c r="U5">
        <v>4</v>
      </c>
      <c r="V5">
        <v>5</v>
      </c>
    </row>
    <row r="6" spans="1:22" x14ac:dyDescent="0.2">
      <c r="A6" s="5" t="s">
        <v>328</v>
      </c>
      <c r="B6" s="5" t="s">
        <v>329</v>
      </c>
      <c r="C6">
        <v>3</v>
      </c>
      <c r="D6">
        <v>2</v>
      </c>
      <c r="E6">
        <v>2</v>
      </c>
      <c r="F6">
        <v>3</v>
      </c>
      <c r="G6">
        <v>1</v>
      </c>
      <c r="H6">
        <v>4</v>
      </c>
      <c r="I6">
        <v>3</v>
      </c>
      <c r="J6">
        <v>2</v>
      </c>
      <c r="K6">
        <v>2</v>
      </c>
      <c r="N6">
        <v>5</v>
      </c>
      <c r="O6">
        <v>5</v>
      </c>
      <c r="P6">
        <v>3</v>
      </c>
      <c r="Q6">
        <v>3</v>
      </c>
      <c r="R6">
        <v>3</v>
      </c>
      <c r="S6">
        <v>4</v>
      </c>
      <c r="T6">
        <v>3</v>
      </c>
      <c r="U6">
        <v>4</v>
      </c>
      <c r="V6">
        <v>4</v>
      </c>
    </row>
    <row r="7" spans="1:22" x14ac:dyDescent="0.2">
      <c r="A7" s="8" t="s">
        <v>102</v>
      </c>
      <c r="B7" s="8" t="s">
        <v>103</v>
      </c>
      <c r="C7">
        <v>5</v>
      </c>
      <c r="D7">
        <v>1</v>
      </c>
      <c r="E7">
        <v>1</v>
      </c>
      <c r="F7">
        <v>4</v>
      </c>
      <c r="G7">
        <v>3</v>
      </c>
      <c r="H7">
        <v>3</v>
      </c>
      <c r="I7">
        <v>4</v>
      </c>
      <c r="J7">
        <v>4</v>
      </c>
      <c r="K7">
        <v>2</v>
      </c>
      <c r="N7">
        <v>4</v>
      </c>
      <c r="O7">
        <v>6</v>
      </c>
      <c r="P7">
        <v>3</v>
      </c>
      <c r="Q7">
        <v>5</v>
      </c>
      <c r="R7">
        <v>4</v>
      </c>
      <c r="S7">
        <v>6</v>
      </c>
      <c r="T7">
        <v>6</v>
      </c>
      <c r="U7">
        <v>3</v>
      </c>
      <c r="V7">
        <v>4</v>
      </c>
    </row>
    <row r="8" spans="1:22" x14ac:dyDescent="0.2">
      <c r="A8" s="5" t="s">
        <v>25</v>
      </c>
      <c r="B8" s="5" t="s">
        <v>26</v>
      </c>
      <c r="C8">
        <v>1</v>
      </c>
      <c r="D8">
        <v>2</v>
      </c>
      <c r="E8">
        <v>1</v>
      </c>
      <c r="F8">
        <v>3</v>
      </c>
      <c r="G8">
        <v>1</v>
      </c>
      <c r="H8">
        <v>2</v>
      </c>
      <c r="I8">
        <v>2</v>
      </c>
      <c r="J8">
        <v>2</v>
      </c>
      <c r="K8">
        <v>1</v>
      </c>
      <c r="N8">
        <v>3</v>
      </c>
      <c r="O8">
        <v>3</v>
      </c>
      <c r="P8">
        <v>3</v>
      </c>
      <c r="Q8">
        <v>4</v>
      </c>
      <c r="R8">
        <v>3</v>
      </c>
      <c r="S8">
        <v>2</v>
      </c>
      <c r="T8">
        <v>2</v>
      </c>
      <c r="U8">
        <v>3</v>
      </c>
      <c r="V8">
        <v>3</v>
      </c>
    </row>
    <row r="9" spans="1:22" x14ac:dyDescent="0.2">
      <c r="A9" s="8" t="s">
        <v>304</v>
      </c>
      <c r="B9" s="8" t="s">
        <v>305</v>
      </c>
      <c r="C9">
        <v>3</v>
      </c>
      <c r="D9">
        <v>4</v>
      </c>
      <c r="E9">
        <v>1</v>
      </c>
      <c r="F9">
        <v>4</v>
      </c>
      <c r="G9">
        <v>1</v>
      </c>
      <c r="H9">
        <v>2</v>
      </c>
      <c r="I9">
        <v>3</v>
      </c>
      <c r="J9">
        <v>3</v>
      </c>
      <c r="K9">
        <v>3</v>
      </c>
      <c r="N9">
        <v>5</v>
      </c>
      <c r="O9">
        <v>6</v>
      </c>
      <c r="P9">
        <v>5</v>
      </c>
      <c r="Q9">
        <v>5</v>
      </c>
      <c r="R9">
        <v>5</v>
      </c>
      <c r="S9">
        <v>4</v>
      </c>
      <c r="T9">
        <v>5</v>
      </c>
      <c r="U9">
        <v>5</v>
      </c>
      <c r="V9">
        <v>5</v>
      </c>
    </row>
    <row r="10" spans="1:22" x14ac:dyDescent="0.2">
      <c r="A10" s="5" t="s">
        <v>59</v>
      </c>
      <c r="B10" s="5" t="s">
        <v>60</v>
      </c>
      <c r="C10">
        <v>4</v>
      </c>
      <c r="D10">
        <v>3</v>
      </c>
      <c r="E10">
        <v>3</v>
      </c>
      <c r="F10">
        <v>3</v>
      </c>
      <c r="G10">
        <v>2</v>
      </c>
      <c r="H10">
        <v>4</v>
      </c>
      <c r="I10">
        <v>3</v>
      </c>
      <c r="J10">
        <v>2</v>
      </c>
      <c r="K10">
        <v>2</v>
      </c>
      <c r="N10">
        <v>5</v>
      </c>
      <c r="O10">
        <v>5</v>
      </c>
      <c r="P10">
        <v>3</v>
      </c>
      <c r="Q10">
        <v>4</v>
      </c>
      <c r="R10">
        <v>5</v>
      </c>
      <c r="S10">
        <v>4</v>
      </c>
      <c r="T10">
        <v>3</v>
      </c>
      <c r="U10">
        <v>4</v>
      </c>
      <c r="V10">
        <v>3</v>
      </c>
    </row>
    <row r="11" spans="1:22" x14ac:dyDescent="0.2">
      <c r="A11" s="8" t="s">
        <v>236</v>
      </c>
      <c r="B11" s="8" t="s">
        <v>237</v>
      </c>
      <c r="C11">
        <v>4</v>
      </c>
      <c r="D11">
        <v>2</v>
      </c>
      <c r="E11">
        <v>5</v>
      </c>
      <c r="F11">
        <v>1</v>
      </c>
      <c r="G11">
        <v>5</v>
      </c>
      <c r="H11">
        <v>7</v>
      </c>
      <c r="I11">
        <v>5</v>
      </c>
      <c r="J11">
        <v>3</v>
      </c>
      <c r="K11">
        <v>4</v>
      </c>
      <c r="N11">
        <v>1</v>
      </c>
      <c r="O11">
        <v>3</v>
      </c>
      <c r="P11">
        <v>5</v>
      </c>
      <c r="Q11">
        <v>2</v>
      </c>
      <c r="R11">
        <v>5</v>
      </c>
      <c r="S11">
        <v>7</v>
      </c>
      <c r="T11">
        <v>6</v>
      </c>
      <c r="U11">
        <v>4</v>
      </c>
      <c r="V11">
        <v>3</v>
      </c>
    </row>
    <row r="12" spans="1:22" x14ac:dyDescent="0.2">
      <c r="A12" s="5" t="s">
        <v>53</v>
      </c>
      <c r="B12" s="5" t="s">
        <v>54</v>
      </c>
      <c r="C12">
        <v>1</v>
      </c>
      <c r="D12">
        <v>3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  <c r="K12">
        <v>2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4</v>
      </c>
      <c r="U12">
        <v>4</v>
      </c>
      <c r="V12">
        <v>3</v>
      </c>
    </row>
    <row r="13" spans="1:22" x14ac:dyDescent="0.2">
      <c r="A13" s="5" t="s">
        <v>264</v>
      </c>
      <c r="B13" s="5" t="s">
        <v>265</v>
      </c>
      <c r="C13">
        <v>7</v>
      </c>
      <c r="D13">
        <v>6</v>
      </c>
      <c r="E13">
        <v>3</v>
      </c>
      <c r="F13">
        <v>5</v>
      </c>
      <c r="G13">
        <v>2</v>
      </c>
      <c r="H13">
        <v>3</v>
      </c>
      <c r="I13">
        <v>5</v>
      </c>
      <c r="J13">
        <v>1</v>
      </c>
      <c r="K13">
        <v>7</v>
      </c>
      <c r="N13">
        <v>3</v>
      </c>
      <c r="O13">
        <v>4</v>
      </c>
      <c r="P13">
        <v>4</v>
      </c>
      <c r="Q13">
        <v>4</v>
      </c>
      <c r="R13">
        <v>4</v>
      </c>
      <c r="S13">
        <v>5</v>
      </c>
      <c r="T13">
        <v>3</v>
      </c>
      <c r="U13">
        <v>1</v>
      </c>
      <c r="V13">
        <v>5</v>
      </c>
    </row>
    <row r="14" spans="1:22" x14ac:dyDescent="0.2">
      <c r="A14" s="8" t="s">
        <v>45</v>
      </c>
      <c r="B14" s="8" t="s">
        <v>46</v>
      </c>
      <c r="C14">
        <v>5</v>
      </c>
      <c r="D14">
        <v>5</v>
      </c>
      <c r="E14">
        <v>4</v>
      </c>
      <c r="F14">
        <v>5</v>
      </c>
      <c r="G14">
        <v>3</v>
      </c>
      <c r="H14">
        <v>5</v>
      </c>
      <c r="I14">
        <v>4</v>
      </c>
      <c r="J14">
        <v>3</v>
      </c>
      <c r="K14">
        <v>3</v>
      </c>
      <c r="N14">
        <v>5</v>
      </c>
      <c r="O14">
        <v>5</v>
      </c>
      <c r="P14">
        <v>5</v>
      </c>
      <c r="Q14">
        <v>6</v>
      </c>
      <c r="R14">
        <v>5</v>
      </c>
      <c r="S14">
        <v>5</v>
      </c>
      <c r="T14">
        <v>4</v>
      </c>
      <c r="U14">
        <v>4</v>
      </c>
      <c r="V14">
        <v>4</v>
      </c>
    </row>
    <row r="15" spans="1:22" x14ac:dyDescent="0.2">
      <c r="A15" s="5" t="s">
        <v>123</v>
      </c>
      <c r="B15" s="5" t="s">
        <v>124</v>
      </c>
      <c r="C15">
        <v>5</v>
      </c>
      <c r="D15">
        <v>3</v>
      </c>
      <c r="E15">
        <v>3</v>
      </c>
      <c r="F15">
        <v>3</v>
      </c>
      <c r="G15">
        <v>4</v>
      </c>
      <c r="H15">
        <v>3</v>
      </c>
      <c r="I15">
        <v>3</v>
      </c>
      <c r="J15">
        <v>2</v>
      </c>
      <c r="K15">
        <v>2</v>
      </c>
      <c r="N15">
        <v>5</v>
      </c>
      <c r="O15">
        <v>5</v>
      </c>
      <c r="P15">
        <v>5</v>
      </c>
      <c r="Q15">
        <v>6</v>
      </c>
      <c r="R15">
        <v>3</v>
      </c>
      <c r="S15">
        <v>6</v>
      </c>
      <c r="T15">
        <v>4</v>
      </c>
      <c r="U15">
        <v>4</v>
      </c>
      <c r="V15">
        <v>4</v>
      </c>
    </row>
    <row r="16" spans="1:22" x14ac:dyDescent="0.2">
      <c r="A16" s="8" t="s">
        <v>255</v>
      </c>
      <c r="B16" s="8" t="s">
        <v>256</v>
      </c>
      <c r="C16">
        <v>1</v>
      </c>
      <c r="D16">
        <v>5</v>
      </c>
      <c r="E16">
        <v>6</v>
      </c>
      <c r="F16">
        <v>7</v>
      </c>
      <c r="G16">
        <v>3</v>
      </c>
      <c r="H16">
        <v>4</v>
      </c>
      <c r="I16">
        <v>1</v>
      </c>
      <c r="J16">
        <v>3</v>
      </c>
      <c r="K16">
        <v>6</v>
      </c>
      <c r="N16">
        <v>1</v>
      </c>
      <c r="O16">
        <v>6</v>
      </c>
      <c r="P16">
        <v>6</v>
      </c>
      <c r="Q16">
        <v>7</v>
      </c>
      <c r="R16">
        <v>3</v>
      </c>
      <c r="S16">
        <v>4</v>
      </c>
      <c r="T16">
        <v>6</v>
      </c>
      <c r="U16">
        <v>3</v>
      </c>
      <c r="V16">
        <v>4</v>
      </c>
    </row>
    <row r="17" spans="1:22" x14ac:dyDescent="0.2">
      <c r="A17" s="5" t="s">
        <v>107</v>
      </c>
      <c r="B17" s="5" t="s">
        <v>108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3</v>
      </c>
      <c r="K17">
        <v>5</v>
      </c>
      <c r="N17">
        <v>3</v>
      </c>
      <c r="O17">
        <v>3</v>
      </c>
      <c r="P17">
        <v>2</v>
      </c>
      <c r="Q17">
        <v>2</v>
      </c>
      <c r="R17">
        <v>1</v>
      </c>
      <c r="S17">
        <v>4</v>
      </c>
      <c r="T17">
        <v>3</v>
      </c>
      <c r="U17">
        <v>1</v>
      </c>
      <c r="V17">
        <v>1</v>
      </c>
    </row>
    <row r="18" spans="1:22" x14ac:dyDescent="0.2">
      <c r="A18" s="8" t="s">
        <v>77</v>
      </c>
      <c r="B18" s="8" t="s">
        <v>78</v>
      </c>
      <c r="C18">
        <v>3</v>
      </c>
      <c r="D18">
        <v>3</v>
      </c>
      <c r="E18">
        <v>4</v>
      </c>
      <c r="F18">
        <v>5</v>
      </c>
      <c r="G18">
        <v>3</v>
      </c>
      <c r="H18">
        <v>4</v>
      </c>
      <c r="I18">
        <v>3</v>
      </c>
      <c r="J18">
        <v>2</v>
      </c>
      <c r="K18">
        <v>3</v>
      </c>
      <c r="N18">
        <v>5</v>
      </c>
      <c r="O18">
        <v>3</v>
      </c>
      <c r="P18">
        <v>4</v>
      </c>
      <c r="Q18">
        <v>3</v>
      </c>
      <c r="R18">
        <v>5</v>
      </c>
      <c r="S18">
        <v>5</v>
      </c>
      <c r="T18">
        <v>3</v>
      </c>
      <c r="U18">
        <v>2</v>
      </c>
      <c r="V18">
        <v>3</v>
      </c>
    </row>
    <row r="19" spans="1:22" x14ac:dyDescent="0.2">
      <c r="A19" s="5" t="s">
        <v>230</v>
      </c>
      <c r="B19" s="5" t="s">
        <v>231</v>
      </c>
      <c r="C19">
        <v>3</v>
      </c>
      <c r="D19">
        <v>5</v>
      </c>
      <c r="E19">
        <v>3</v>
      </c>
      <c r="F19">
        <v>3</v>
      </c>
      <c r="G19">
        <v>2</v>
      </c>
      <c r="H19">
        <v>2</v>
      </c>
      <c r="I19">
        <v>3</v>
      </c>
      <c r="J19">
        <v>3</v>
      </c>
      <c r="K19">
        <v>3</v>
      </c>
      <c r="N19">
        <v>5</v>
      </c>
      <c r="O19">
        <v>3</v>
      </c>
      <c r="P19">
        <v>3</v>
      </c>
      <c r="Q19">
        <v>4</v>
      </c>
      <c r="R19">
        <v>5</v>
      </c>
      <c r="S19">
        <v>4</v>
      </c>
      <c r="T19">
        <v>3</v>
      </c>
      <c r="U19">
        <v>4</v>
      </c>
      <c r="V19">
        <v>5</v>
      </c>
    </row>
    <row r="20" spans="1:22" x14ac:dyDescent="0.2">
      <c r="A20" s="8" t="s">
        <v>286</v>
      </c>
      <c r="B20" s="8" t="s">
        <v>287</v>
      </c>
      <c r="C20">
        <v>2</v>
      </c>
      <c r="D20">
        <v>2</v>
      </c>
      <c r="E20">
        <v>1</v>
      </c>
      <c r="F20">
        <v>2</v>
      </c>
      <c r="G20">
        <v>1</v>
      </c>
      <c r="H20">
        <v>2</v>
      </c>
      <c r="I20">
        <v>1</v>
      </c>
      <c r="J20">
        <v>1</v>
      </c>
      <c r="K20">
        <v>1</v>
      </c>
      <c r="N20">
        <v>3</v>
      </c>
      <c r="O20">
        <v>3</v>
      </c>
      <c r="P20">
        <v>2</v>
      </c>
      <c r="Q20">
        <v>2</v>
      </c>
      <c r="R20">
        <v>2</v>
      </c>
      <c r="S20">
        <v>2</v>
      </c>
      <c r="T20">
        <v>2</v>
      </c>
      <c r="U20">
        <v>1</v>
      </c>
      <c r="V20">
        <v>2</v>
      </c>
    </row>
    <row r="21" spans="1:22" x14ac:dyDescent="0.2">
      <c r="A21" s="5" t="s">
        <v>181</v>
      </c>
      <c r="B21" s="5" t="s">
        <v>182</v>
      </c>
      <c r="C21">
        <v>3</v>
      </c>
      <c r="D21">
        <v>5</v>
      </c>
      <c r="E21">
        <v>2</v>
      </c>
      <c r="F21">
        <v>3</v>
      </c>
      <c r="G21">
        <v>1</v>
      </c>
      <c r="H21">
        <v>3</v>
      </c>
      <c r="I21">
        <v>2</v>
      </c>
      <c r="J21">
        <v>1</v>
      </c>
      <c r="K21">
        <v>2</v>
      </c>
      <c r="N21">
        <v>3</v>
      </c>
      <c r="O21">
        <v>4</v>
      </c>
      <c r="P21">
        <v>4</v>
      </c>
      <c r="Q21">
        <v>5</v>
      </c>
      <c r="R21">
        <v>3</v>
      </c>
      <c r="S21">
        <v>4</v>
      </c>
      <c r="T21">
        <v>3</v>
      </c>
      <c r="U21">
        <v>3</v>
      </c>
      <c r="V21">
        <v>3</v>
      </c>
    </row>
    <row r="22" spans="1:22" x14ac:dyDescent="0.2">
      <c r="A22" s="8" t="s">
        <v>252</v>
      </c>
      <c r="B22" s="8" t="s">
        <v>253</v>
      </c>
      <c r="C22">
        <v>3</v>
      </c>
      <c r="D22">
        <v>3</v>
      </c>
      <c r="E22">
        <v>3</v>
      </c>
      <c r="F22">
        <v>2</v>
      </c>
      <c r="G22">
        <v>3</v>
      </c>
      <c r="H22">
        <v>4</v>
      </c>
      <c r="I22">
        <v>3</v>
      </c>
      <c r="J22">
        <v>3</v>
      </c>
      <c r="K22">
        <v>2</v>
      </c>
      <c r="N22">
        <v>4</v>
      </c>
      <c r="O22">
        <v>5</v>
      </c>
      <c r="P22">
        <v>4</v>
      </c>
      <c r="Q22">
        <v>4</v>
      </c>
      <c r="R22">
        <v>4</v>
      </c>
      <c r="S22">
        <v>4</v>
      </c>
      <c r="T22">
        <v>3</v>
      </c>
      <c r="U22">
        <v>4</v>
      </c>
      <c r="V22">
        <v>4</v>
      </c>
    </row>
    <row r="23" spans="1:22" x14ac:dyDescent="0.2">
      <c r="A23" s="5" t="s">
        <v>173</v>
      </c>
      <c r="B23" s="5" t="s">
        <v>174</v>
      </c>
      <c r="C23">
        <v>3</v>
      </c>
      <c r="D23">
        <v>2</v>
      </c>
      <c r="E23">
        <v>2</v>
      </c>
      <c r="F23">
        <v>3</v>
      </c>
      <c r="G23">
        <v>2</v>
      </c>
      <c r="H23">
        <v>2</v>
      </c>
      <c r="I23">
        <v>2</v>
      </c>
      <c r="J23">
        <v>3</v>
      </c>
      <c r="K23">
        <v>2</v>
      </c>
      <c r="N23">
        <v>3</v>
      </c>
      <c r="O23">
        <v>3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5</v>
      </c>
    </row>
    <row r="24" spans="1:22" x14ac:dyDescent="0.2">
      <c r="A24" s="8" t="s">
        <v>95</v>
      </c>
      <c r="B24" s="8" t="s">
        <v>96</v>
      </c>
      <c r="C24">
        <v>4</v>
      </c>
      <c r="D24">
        <v>3</v>
      </c>
      <c r="E24">
        <v>3</v>
      </c>
      <c r="F24">
        <v>3</v>
      </c>
      <c r="G24">
        <v>5</v>
      </c>
      <c r="H24">
        <v>4</v>
      </c>
      <c r="I24">
        <v>3</v>
      </c>
      <c r="J24">
        <v>3</v>
      </c>
      <c r="K24">
        <v>3</v>
      </c>
      <c r="N24">
        <v>5</v>
      </c>
      <c r="O24">
        <v>5</v>
      </c>
      <c r="P24">
        <v>4</v>
      </c>
      <c r="Q24">
        <v>5</v>
      </c>
      <c r="R24">
        <v>4</v>
      </c>
      <c r="S24">
        <v>5</v>
      </c>
      <c r="T24">
        <v>3</v>
      </c>
      <c r="U24">
        <v>3</v>
      </c>
      <c r="V24">
        <v>3</v>
      </c>
    </row>
    <row r="25" spans="1:22" x14ac:dyDescent="0.2">
      <c r="A25" s="5" t="s">
        <v>239</v>
      </c>
      <c r="B25" s="5" t="s">
        <v>240</v>
      </c>
      <c r="C25">
        <v>3</v>
      </c>
      <c r="D25">
        <v>2</v>
      </c>
      <c r="E25">
        <v>3</v>
      </c>
      <c r="F25">
        <v>4</v>
      </c>
      <c r="G25">
        <v>2</v>
      </c>
      <c r="H25">
        <v>3</v>
      </c>
      <c r="I25">
        <v>2</v>
      </c>
      <c r="J25">
        <v>3</v>
      </c>
      <c r="K25">
        <v>2</v>
      </c>
      <c r="N25">
        <v>5</v>
      </c>
      <c r="O25">
        <v>4</v>
      </c>
      <c r="P25">
        <v>4</v>
      </c>
      <c r="Q25">
        <v>5</v>
      </c>
      <c r="R25">
        <v>5</v>
      </c>
      <c r="S25">
        <v>4</v>
      </c>
      <c r="T25">
        <v>4</v>
      </c>
      <c r="U25">
        <v>4</v>
      </c>
      <c r="V25">
        <v>5</v>
      </c>
    </row>
    <row r="26" spans="1:22" x14ac:dyDescent="0.2">
      <c r="A26" s="8" t="s">
        <v>242</v>
      </c>
      <c r="B26" s="8" t="s">
        <v>243</v>
      </c>
      <c r="C26">
        <v>1</v>
      </c>
      <c r="D26">
        <v>1</v>
      </c>
      <c r="E26">
        <v>1</v>
      </c>
      <c r="F26">
        <v>3</v>
      </c>
      <c r="G26">
        <v>3</v>
      </c>
      <c r="H26">
        <v>2</v>
      </c>
      <c r="I26">
        <v>1</v>
      </c>
      <c r="J26">
        <v>1</v>
      </c>
      <c r="K26">
        <v>1</v>
      </c>
      <c r="N26">
        <v>5</v>
      </c>
      <c r="O26">
        <v>2</v>
      </c>
      <c r="P26">
        <v>3</v>
      </c>
      <c r="Q26">
        <v>4</v>
      </c>
      <c r="R26">
        <v>5</v>
      </c>
      <c r="S26">
        <v>5</v>
      </c>
      <c r="T26">
        <v>3</v>
      </c>
      <c r="U26">
        <v>2</v>
      </c>
      <c r="V26">
        <v>2</v>
      </c>
    </row>
    <row r="27" spans="1:22" x14ac:dyDescent="0.2">
      <c r="A27" s="5" t="s">
        <v>221</v>
      </c>
      <c r="B27" s="5" t="s">
        <v>222</v>
      </c>
      <c r="C27">
        <v>3</v>
      </c>
      <c r="D27">
        <v>3</v>
      </c>
      <c r="E27">
        <v>3</v>
      </c>
      <c r="F27">
        <v>4</v>
      </c>
      <c r="G27">
        <v>3</v>
      </c>
      <c r="H27">
        <v>3</v>
      </c>
      <c r="I27">
        <v>2</v>
      </c>
      <c r="J27">
        <v>1</v>
      </c>
      <c r="K27">
        <v>2</v>
      </c>
      <c r="N27">
        <v>5</v>
      </c>
      <c r="O27">
        <v>5</v>
      </c>
      <c r="P27">
        <v>4</v>
      </c>
      <c r="Q27">
        <v>4</v>
      </c>
      <c r="R27">
        <v>3</v>
      </c>
      <c r="S27">
        <v>4</v>
      </c>
      <c r="T27">
        <v>2</v>
      </c>
      <c r="U27">
        <v>1</v>
      </c>
      <c r="V27">
        <v>3</v>
      </c>
    </row>
    <row r="28" spans="1:22" x14ac:dyDescent="0.2">
      <c r="A28" s="8" t="s">
        <v>224</v>
      </c>
      <c r="B28" s="8" t="s">
        <v>225</v>
      </c>
      <c r="C28">
        <v>5</v>
      </c>
      <c r="D28">
        <v>3</v>
      </c>
      <c r="E28">
        <v>2</v>
      </c>
      <c r="F28">
        <v>2</v>
      </c>
      <c r="G28">
        <v>1</v>
      </c>
      <c r="H28">
        <v>3</v>
      </c>
      <c r="I28">
        <v>2</v>
      </c>
      <c r="J28">
        <v>1</v>
      </c>
      <c r="K28">
        <v>2</v>
      </c>
      <c r="N28">
        <v>6</v>
      </c>
      <c r="O28">
        <v>5</v>
      </c>
      <c r="P28">
        <v>3</v>
      </c>
      <c r="Q28">
        <v>4</v>
      </c>
      <c r="R28">
        <v>3</v>
      </c>
      <c r="S28">
        <v>4</v>
      </c>
      <c r="T28">
        <v>2</v>
      </c>
      <c r="U28">
        <v>3</v>
      </c>
      <c r="V28">
        <v>2</v>
      </c>
    </row>
    <row r="29" spans="1:22" x14ac:dyDescent="0.2">
      <c r="A29" s="5" t="s">
        <v>147</v>
      </c>
      <c r="B29" s="5" t="s">
        <v>148</v>
      </c>
      <c r="C29">
        <v>3</v>
      </c>
      <c r="D29">
        <v>3</v>
      </c>
      <c r="E29">
        <v>7</v>
      </c>
      <c r="F29">
        <v>1</v>
      </c>
      <c r="G29">
        <v>5</v>
      </c>
      <c r="H29">
        <v>6</v>
      </c>
      <c r="I29">
        <v>3</v>
      </c>
      <c r="J29">
        <v>7</v>
      </c>
      <c r="K29">
        <v>7</v>
      </c>
      <c r="N29">
        <v>1</v>
      </c>
      <c r="O29">
        <v>3</v>
      </c>
      <c r="P29">
        <v>3</v>
      </c>
      <c r="Q29">
        <v>4</v>
      </c>
      <c r="R29">
        <v>3</v>
      </c>
      <c r="S29">
        <v>4</v>
      </c>
      <c r="T29">
        <v>7</v>
      </c>
      <c r="U29">
        <v>6</v>
      </c>
      <c r="V29">
        <v>7</v>
      </c>
    </row>
    <row r="30" spans="1:22" x14ac:dyDescent="0.2">
      <c r="A30" s="8" t="s">
        <v>187</v>
      </c>
      <c r="B30" s="8" t="s">
        <v>188</v>
      </c>
      <c r="C30">
        <v>5</v>
      </c>
      <c r="D30">
        <v>3</v>
      </c>
      <c r="E30">
        <v>3</v>
      </c>
      <c r="F30">
        <v>4</v>
      </c>
      <c r="G30">
        <v>3</v>
      </c>
      <c r="H30">
        <v>4</v>
      </c>
      <c r="I30">
        <v>3</v>
      </c>
      <c r="J30">
        <v>3</v>
      </c>
      <c r="K30">
        <v>2</v>
      </c>
      <c r="N30">
        <v>5</v>
      </c>
      <c r="O30">
        <v>4</v>
      </c>
      <c r="P30">
        <v>3</v>
      </c>
      <c r="Q30">
        <v>4</v>
      </c>
      <c r="R30">
        <v>4</v>
      </c>
      <c r="S30">
        <v>3</v>
      </c>
      <c r="T30">
        <v>3</v>
      </c>
      <c r="U30">
        <v>4</v>
      </c>
      <c r="V30">
        <v>5</v>
      </c>
    </row>
    <row r="31" spans="1:22" x14ac:dyDescent="0.2">
      <c r="A31" s="5" t="s">
        <v>151</v>
      </c>
      <c r="B31" s="5" t="s">
        <v>152</v>
      </c>
      <c r="C31">
        <v>2</v>
      </c>
      <c r="D31">
        <v>3</v>
      </c>
      <c r="E31">
        <v>2</v>
      </c>
      <c r="F31">
        <v>3</v>
      </c>
      <c r="G31">
        <v>3</v>
      </c>
      <c r="H31">
        <v>3</v>
      </c>
      <c r="I31">
        <v>2</v>
      </c>
      <c r="J31">
        <v>2</v>
      </c>
      <c r="K31">
        <v>3</v>
      </c>
      <c r="N31">
        <v>5</v>
      </c>
      <c r="O31">
        <v>5</v>
      </c>
      <c r="P31">
        <v>4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</row>
    <row r="32" spans="1:22" x14ac:dyDescent="0.2">
      <c r="A32" s="8" t="s">
        <v>193</v>
      </c>
      <c r="B32" s="8" t="s">
        <v>194</v>
      </c>
      <c r="C32">
        <v>5</v>
      </c>
      <c r="D32">
        <v>5</v>
      </c>
      <c r="E32">
        <v>3</v>
      </c>
      <c r="F32">
        <v>5</v>
      </c>
      <c r="G32">
        <v>3</v>
      </c>
      <c r="H32">
        <v>5</v>
      </c>
      <c r="I32">
        <v>3</v>
      </c>
      <c r="J32">
        <v>1</v>
      </c>
      <c r="K32">
        <v>3</v>
      </c>
      <c r="N32">
        <v>5</v>
      </c>
      <c r="O32">
        <v>5</v>
      </c>
      <c r="P32">
        <v>6</v>
      </c>
      <c r="Q32">
        <v>5</v>
      </c>
      <c r="R32">
        <v>5</v>
      </c>
      <c r="S32">
        <v>5</v>
      </c>
      <c r="T32">
        <v>5</v>
      </c>
      <c r="U32">
        <v>6</v>
      </c>
      <c r="V32">
        <v>5</v>
      </c>
    </row>
    <row r="33" spans="1:22" x14ac:dyDescent="0.2">
      <c r="A33" s="5" t="s">
        <v>233</v>
      </c>
      <c r="B33" s="5" t="s">
        <v>234</v>
      </c>
      <c r="C33">
        <v>3</v>
      </c>
      <c r="D33">
        <v>2</v>
      </c>
      <c r="E33">
        <v>3</v>
      </c>
      <c r="F33">
        <v>4</v>
      </c>
      <c r="G33">
        <v>3</v>
      </c>
      <c r="H33">
        <v>4</v>
      </c>
      <c r="I33">
        <v>3</v>
      </c>
      <c r="J33">
        <v>3</v>
      </c>
      <c r="K33">
        <v>4</v>
      </c>
      <c r="N33">
        <v>3</v>
      </c>
      <c r="O33">
        <v>4</v>
      </c>
      <c r="P33">
        <v>4</v>
      </c>
      <c r="Q33">
        <v>5</v>
      </c>
      <c r="R33">
        <v>3</v>
      </c>
      <c r="S33">
        <v>3</v>
      </c>
      <c r="T33">
        <v>4</v>
      </c>
      <c r="U33">
        <v>4</v>
      </c>
      <c r="V33">
        <v>5</v>
      </c>
    </row>
    <row r="34" spans="1:22" x14ac:dyDescent="0.2">
      <c r="A34" s="8" t="s">
        <v>218</v>
      </c>
      <c r="B34" s="8" t="s">
        <v>219</v>
      </c>
      <c r="C34">
        <v>4</v>
      </c>
      <c r="D34">
        <v>3</v>
      </c>
      <c r="E34">
        <v>3</v>
      </c>
      <c r="F34">
        <v>5</v>
      </c>
      <c r="G34">
        <v>4</v>
      </c>
      <c r="H34">
        <v>4</v>
      </c>
      <c r="I34">
        <v>2</v>
      </c>
      <c r="J34">
        <v>3</v>
      </c>
      <c r="K34">
        <v>3</v>
      </c>
      <c r="N34">
        <v>5</v>
      </c>
      <c r="O34">
        <v>5</v>
      </c>
      <c r="P34">
        <v>5</v>
      </c>
      <c r="Q34">
        <v>4</v>
      </c>
      <c r="R34">
        <v>5</v>
      </c>
      <c r="S34">
        <v>4</v>
      </c>
      <c r="T34">
        <v>5</v>
      </c>
      <c r="U34">
        <v>3</v>
      </c>
      <c r="V34">
        <v>5</v>
      </c>
    </row>
    <row r="35" spans="1:22" x14ac:dyDescent="0.2">
      <c r="A35" s="5" t="s">
        <v>163</v>
      </c>
      <c r="B35" s="5" t="s">
        <v>164</v>
      </c>
      <c r="C35">
        <v>3</v>
      </c>
      <c r="D35">
        <v>3</v>
      </c>
      <c r="E35">
        <v>2</v>
      </c>
      <c r="F35">
        <v>3</v>
      </c>
      <c r="G35">
        <v>2</v>
      </c>
      <c r="H35">
        <v>3</v>
      </c>
      <c r="I35">
        <v>2</v>
      </c>
      <c r="J35">
        <v>1</v>
      </c>
      <c r="K35">
        <v>2</v>
      </c>
      <c r="N35">
        <v>5</v>
      </c>
      <c r="O35">
        <v>4</v>
      </c>
      <c r="P35">
        <v>4</v>
      </c>
      <c r="Q35">
        <v>4</v>
      </c>
      <c r="R35">
        <v>3</v>
      </c>
      <c r="S35">
        <v>3</v>
      </c>
      <c r="T35">
        <v>3</v>
      </c>
      <c r="U35">
        <v>2</v>
      </c>
      <c r="V35">
        <v>2</v>
      </c>
    </row>
    <row r="36" spans="1:22" x14ac:dyDescent="0.2">
      <c r="A36" s="5" t="s">
        <v>114</v>
      </c>
      <c r="B36" s="5" t="s">
        <v>115</v>
      </c>
      <c r="C36">
        <v>4</v>
      </c>
      <c r="D36">
        <v>3</v>
      </c>
      <c r="E36">
        <v>2</v>
      </c>
      <c r="F36">
        <v>5</v>
      </c>
      <c r="G36">
        <v>3</v>
      </c>
      <c r="H36">
        <v>3</v>
      </c>
      <c r="I36">
        <v>3</v>
      </c>
      <c r="J36">
        <v>3</v>
      </c>
      <c r="K36">
        <v>2</v>
      </c>
      <c r="N36">
        <v>5</v>
      </c>
      <c r="O36">
        <v>5</v>
      </c>
      <c r="P36">
        <v>3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</row>
    <row r="37" spans="1:22" x14ac:dyDescent="0.2">
      <c r="A37" s="8" t="s">
        <v>196</v>
      </c>
      <c r="B37" s="8" t="s">
        <v>197</v>
      </c>
      <c r="C37">
        <v>3</v>
      </c>
      <c r="D37">
        <v>3</v>
      </c>
      <c r="E37">
        <v>2</v>
      </c>
      <c r="F37">
        <v>3</v>
      </c>
      <c r="G37">
        <v>1</v>
      </c>
      <c r="H37">
        <v>3</v>
      </c>
      <c r="I37">
        <v>2</v>
      </c>
      <c r="J37">
        <v>3</v>
      </c>
      <c r="K37">
        <v>3</v>
      </c>
      <c r="N37">
        <v>4</v>
      </c>
      <c r="O37">
        <v>6</v>
      </c>
      <c r="P37">
        <v>5</v>
      </c>
      <c r="Q37">
        <v>5</v>
      </c>
      <c r="R37">
        <v>4</v>
      </c>
      <c r="S37">
        <v>3</v>
      </c>
      <c r="T37">
        <v>3</v>
      </c>
      <c r="U37">
        <v>4</v>
      </c>
      <c r="V37">
        <v>4</v>
      </c>
    </row>
    <row r="38" spans="1:22" x14ac:dyDescent="0.2">
      <c r="A38" s="5" t="s">
        <v>322</v>
      </c>
      <c r="B38" s="5" t="s">
        <v>323</v>
      </c>
      <c r="C38">
        <v>3</v>
      </c>
      <c r="D38">
        <v>2</v>
      </c>
      <c r="E38">
        <v>3</v>
      </c>
      <c r="F38">
        <v>5</v>
      </c>
      <c r="G38">
        <v>2</v>
      </c>
      <c r="H38">
        <v>3</v>
      </c>
      <c r="I38">
        <v>2</v>
      </c>
      <c r="J38">
        <v>3</v>
      </c>
      <c r="K38">
        <v>3</v>
      </c>
      <c r="N38">
        <v>5</v>
      </c>
      <c r="O38">
        <v>5</v>
      </c>
      <c r="P38">
        <v>5</v>
      </c>
      <c r="Q38">
        <v>6</v>
      </c>
      <c r="R38">
        <v>5</v>
      </c>
      <c r="S38">
        <v>6</v>
      </c>
      <c r="T38">
        <v>3</v>
      </c>
      <c r="U38">
        <v>3</v>
      </c>
      <c r="V38">
        <v>3</v>
      </c>
    </row>
    <row r="39" spans="1:22" x14ac:dyDescent="0.2">
      <c r="A39" s="8" t="s">
        <v>212</v>
      </c>
      <c r="B39" s="8" t="s">
        <v>213</v>
      </c>
      <c r="C39">
        <v>1</v>
      </c>
      <c r="D39">
        <v>5</v>
      </c>
      <c r="E39">
        <v>3</v>
      </c>
      <c r="F39">
        <v>4</v>
      </c>
      <c r="G39">
        <v>2</v>
      </c>
      <c r="H39">
        <v>5</v>
      </c>
      <c r="I39">
        <v>3</v>
      </c>
      <c r="J39">
        <v>3</v>
      </c>
      <c r="K39">
        <v>2</v>
      </c>
      <c r="N39">
        <v>3</v>
      </c>
      <c r="O39">
        <v>5</v>
      </c>
      <c r="P39">
        <v>3</v>
      </c>
      <c r="Q39">
        <v>4</v>
      </c>
      <c r="R39">
        <v>4</v>
      </c>
      <c r="S39">
        <v>6</v>
      </c>
      <c r="T39">
        <v>3</v>
      </c>
      <c r="U39">
        <v>3</v>
      </c>
      <c r="V39">
        <v>3</v>
      </c>
    </row>
    <row r="40" spans="1:22" x14ac:dyDescent="0.2">
      <c r="A40" s="5" t="s">
        <v>73</v>
      </c>
      <c r="B40" s="5" t="s">
        <v>74</v>
      </c>
      <c r="C40">
        <v>5</v>
      </c>
      <c r="D40">
        <v>5</v>
      </c>
      <c r="E40">
        <v>2</v>
      </c>
      <c r="F40">
        <v>1</v>
      </c>
      <c r="G40">
        <v>3</v>
      </c>
      <c r="H40">
        <v>4</v>
      </c>
      <c r="I40">
        <v>5</v>
      </c>
      <c r="J40">
        <v>3</v>
      </c>
      <c r="K40">
        <v>3</v>
      </c>
      <c r="N40">
        <v>7</v>
      </c>
      <c r="O40">
        <v>6</v>
      </c>
      <c r="P40">
        <v>4</v>
      </c>
      <c r="Q40">
        <v>5</v>
      </c>
      <c r="R40">
        <v>5</v>
      </c>
      <c r="S40">
        <v>6</v>
      </c>
      <c r="T40">
        <v>7</v>
      </c>
      <c r="U40">
        <v>7</v>
      </c>
      <c r="V40">
        <v>6</v>
      </c>
    </row>
    <row r="41" spans="1:22" x14ac:dyDescent="0.2">
      <c r="A41" s="8" t="s">
        <v>143</v>
      </c>
      <c r="B41" s="8" t="s">
        <v>346</v>
      </c>
      <c r="C41">
        <v>6</v>
      </c>
      <c r="D41">
        <v>3</v>
      </c>
      <c r="E41">
        <v>3</v>
      </c>
      <c r="F41">
        <v>6</v>
      </c>
      <c r="G41">
        <v>3</v>
      </c>
      <c r="H41">
        <v>7</v>
      </c>
      <c r="I41">
        <v>3</v>
      </c>
      <c r="J41">
        <v>3</v>
      </c>
      <c r="K41">
        <v>7</v>
      </c>
      <c r="N41">
        <v>5</v>
      </c>
      <c r="O41">
        <v>3</v>
      </c>
      <c r="P41">
        <v>7</v>
      </c>
      <c r="Q41">
        <v>4</v>
      </c>
      <c r="R41">
        <v>2</v>
      </c>
      <c r="S41">
        <v>4</v>
      </c>
      <c r="T41">
        <v>5</v>
      </c>
      <c r="U41">
        <v>7</v>
      </c>
      <c r="V41">
        <v>3</v>
      </c>
    </row>
    <row r="42" spans="1:22" x14ac:dyDescent="0.2">
      <c r="A42" s="5" t="s">
        <v>130</v>
      </c>
      <c r="B42" s="5" t="s">
        <v>131</v>
      </c>
      <c r="C42">
        <v>3</v>
      </c>
      <c r="D42">
        <v>3</v>
      </c>
      <c r="E42">
        <v>2</v>
      </c>
      <c r="F42">
        <v>2</v>
      </c>
      <c r="G42">
        <v>1</v>
      </c>
      <c r="H42">
        <v>2</v>
      </c>
      <c r="I42">
        <v>3</v>
      </c>
      <c r="J42">
        <v>1</v>
      </c>
      <c r="K42">
        <v>2</v>
      </c>
      <c r="N42">
        <v>3</v>
      </c>
      <c r="O42">
        <v>4</v>
      </c>
      <c r="P42">
        <v>5</v>
      </c>
      <c r="Q42">
        <v>4</v>
      </c>
      <c r="R42">
        <v>3</v>
      </c>
      <c r="S42">
        <v>3</v>
      </c>
      <c r="T42">
        <v>4</v>
      </c>
      <c r="U42">
        <v>3</v>
      </c>
      <c r="V42">
        <v>4</v>
      </c>
    </row>
    <row r="43" spans="1:22" x14ac:dyDescent="0.2">
      <c r="A43" s="8" t="s">
        <v>140</v>
      </c>
      <c r="B43" s="8" t="s">
        <v>141</v>
      </c>
      <c r="C43">
        <v>2</v>
      </c>
      <c r="D43">
        <v>3</v>
      </c>
      <c r="E43">
        <v>2</v>
      </c>
      <c r="F43">
        <v>2</v>
      </c>
      <c r="G43">
        <v>2</v>
      </c>
      <c r="H43">
        <v>3</v>
      </c>
      <c r="I43">
        <v>3</v>
      </c>
      <c r="J43">
        <v>2</v>
      </c>
      <c r="K43">
        <v>2</v>
      </c>
      <c r="N43">
        <v>5</v>
      </c>
      <c r="O43">
        <v>5</v>
      </c>
      <c r="P43">
        <v>4</v>
      </c>
      <c r="Q43">
        <v>6</v>
      </c>
      <c r="R43">
        <v>7</v>
      </c>
      <c r="S43">
        <v>6</v>
      </c>
      <c r="T43">
        <v>6</v>
      </c>
      <c r="U43">
        <v>5</v>
      </c>
      <c r="V43">
        <v>5</v>
      </c>
    </row>
    <row r="44" spans="1:22" x14ac:dyDescent="0.2">
      <c r="A44" s="5" t="s">
        <v>136</v>
      </c>
      <c r="B44" s="5" t="s">
        <v>137</v>
      </c>
      <c r="C44">
        <v>7</v>
      </c>
      <c r="D44">
        <v>4</v>
      </c>
      <c r="E44">
        <v>3</v>
      </c>
      <c r="F44">
        <v>6</v>
      </c>
      <c r="G44">
        <v>1</v>
      </c>
      <c r="H44">
        <v>5</v>
      </c>
      <c r="I44">
        <v>1</v>
      </c>
      <c r="J44">
        <v>2</v>
      </c>
      <c r="K44">
        <v>3</v>
      </c>
      <c r="N44">
        <v>7</v>
      </c>
      <c r="O44">
        <v>5</v>
      </c>
      <c r="P44">
        <v>5</v>
      </c>
      <c r="Q44">
        <v>7</v>
      </c>
      <c r="R44">
        <v>3</v>
      </c>
      <c r="S44">
        <v>7</v>
      </c>
      <c r="T44">
        <v>4</v>
      </c>
      <c r="U44">
        <v>6</v>
      </c>
      <c r="V44">
        <v>6</v>
      </c>
    </row>
    <row r="45" spans="1:22" x14ac:dyDescent="0.2">
      <c r="A45" s="8" t="s">
        <v>176</v>
      </c>
      <c r="B45" s="8" t="s">
        <v>177</v>
      </c>
      <c r="C45">
        <v>1</v>
      </c>
      <c r="D45">
        <v>3</v>
      </c>
      <c r="E45">
        <v>3</v>
      </c>
      <c r="F45">
        <v>5</v>
      </c>
      <c r="G45">
        <v>7</v>
      </c>
      <c r="H45">
        <v>2</v>
      </c>
      <c r="I45">
        <v>1</v>
      </c>
      <c r="J45">
        <v>6</v>
      </c>
      <c r="K45">
        <v>7</v>
      </c>
      <c r="N45">
        <v>6</v>
      </c>
      <c r="O45">
        <v>5</v>
      </c>
      <c r="P45">
        <v>1</v>
      </c>
      <c r="Q45">
        <v>4</v>
      </c>
      <c r="R45">
        <v>2</v>
      </c>
      <c r="S45">
        <v>3</v>
      </c>
      <c r="T45">
        <v>7</v>
      </c>
      <c r="U45">
        <v>7</v>
      </c>
      <c r="V45">
        <v>7</v>
      </c>
    </row>
    <row r="46" spans="1:22" x14ac:dyDescent="0.2">
      <c r="A46" s="5" t="s">
        <v>341</v>
      </c>
      <c r="B46" s="5" t="s">
        <v>342</v>
      </c>
      <c r="C46">
        <v>3</v>
      </c>
      <c r="D46">
        <v>5</v>
      </c>
      <c r="E46">
        <v>5</v>
      </c>
      <c r="F46">
        <v>6</v>
      </c>
      <c r="G46">
        <v>3</v>
      </c>
      <c r="H46">
        <v>6</v>
      </c>
      <c r="I46">
        <v>7</v>
      </c>
      <c r="J46">
        <v>3</v>
      </c>
      <c r="K46">
        <v>6</v>
      </c>
      <c r="N46">
        <v>5</v>
      </c>
      <c r="O46">
        <v>5</v>
      </c>
      <c r="P46">
        <v>5</v>
      </c>
      <c r="Q46">
        <v>6</v>
      </c>
      <c r="R46">
        <v>6</v>
      </c>
      <c r="S46">
        <v>6</v>
      </c>
      <c r="T46">
        <v>5</v>
      </c>
      <c r="U46">
        <v>4</v>
      </c>
      <c r="V46">
        <v>7</v>
      </c>
    </row>
    <row r="47" spans="1:22" x14ac:dyDescent="0.2">
      <c r="A47" s="8" t="s">
        <v>298</v>
      </c>
      <c r="B47" s="8" t="s">
        <v>299</v>
      </c>
      <c r="C47">
        <v>6</v>
      </c>
      <c r="D47">
        <v>3</v>
      </c>
      <c r="E47">
        <v>4</v>
      </c>
      <c r="F47">
        <v>4</v>
      </c>
      <c r="G47">
        <v>2</v>
      </c>
      <c r="H47">
        <v>3</v>
      </c>
      <c r="I47">
        <v>4</v>
      </c>
      <c r="J47">
        <v>4</v>
      </c>
      <c r="K47">
        <v>3</v>
      </c>
      <c r="N47">
        <v>5</v>
      </c>
      <c r="O47">
        <v>3</v>
      </c>
      <c r="P47">
        <v>4</v>
      </c>
      <c r="Q47">
        <v>3</v>
      </c>
      <c r="R47">
        <v>5</v>
      </c>
      <c r="S47">
        <v>4</v>
      </c>
      <c r="T47">
        <v>4</v>
      </c>
      <c r="U47">
        <v>3</v>
      </c>
      <c r="V47">
        <v>4</v>
      </c>
    </row>
    <row r="48" spans="1:22" x14ac:dyDescent="0.2">
      <c r="A48" s="5" t="s">
        <v>331</v>
      </c>
      <c r="B48" s="5" t="s">
        <v>332</v>
      </c>
      <c r="C48">
        <v>3</v>
      </c>
      <c r="D48">
        <v>2</v>
      </c>
      <c r="E48">
        <v>4</v>
      </c>
      <c r="F48">
        <v>2</v>
      </c>
      <c r="G48">
        <v>4</v>
      </c>
      <c r="H48">
        <v>4</v>
      </c>
      <c r="I48">
        <v>3</v>
      </c>
      <c r="J48">
        <v>2</v>
      </c>
      <c r="K48">
        <v>1</v>
      </c>
      <c r="N48">
        <v>5</v>
      </c>
      <c r="O48">
        <v>5</v>
      </c>
      <c r="P48">
        <v>5</v>
      </c>
      <c r="Q48">
        <v>4</v>
      </c>
      <c r="R48">
        <v>6</v>
      </c>
      <c r="S48">
        <v>4</v>
      </c>
      <c r="T48">
        <v>4</v>
      </c>
      <c r="U48">
        <v>5</v>
      </c>
      <c r="V48">
        <v>6</v>
      </c>
    </row>
    <row r="49" spans="1:22" x14ac:dyDescent="0.2">
      <c r="A49" s="8" t="s">
        <v>127</v>
      </c>
      <c r="B49" s="8" t="s">
        <v>128</v>
      </c>
      <c r="C49">
        <v>1</v>
      </c>
      <c r="D49">
        <v>2</v>
      </c>
      <c r="E49">
        <v>7</v>
      </c>
      <c r="F49">
        <v>1</v>
      </c>
      <c r="G49">
        <v>3</v>
      </c>
      <c r="H49">
        <v>4</v>
      </c>
      <c r="I49">
        <v>2</v>
      </c>
      <c r="J49">
        <v>3</v>
      </c>
      <c r="K49">
        <v>2</v>
      </c>
      <c r="N49">
        <v>1</v>
      </c>
      <c r="O49">
        <v>2</v>
      </c>
      <c r="P49">
        <v>3</v>
      </c>
      <c r="Q49">
        <v>5</v>
      </c>
      <c r="R49">
        <v>1</v>
      </c>
      <c r="S49">
        <v>4</v>
      </c>
      <c r="T49">
        <v>2</v>
      </c>
      <c r="U49">
        <v>4</v>
      </c>
      <c r="V49">
        <v>7</v>
      </c>
    </row>
    <row r="50" spans="1:22" x14ac:dyDescent="0.2">
      <c r="A50" s="5" t="s">
        <v>209</v>
      </c>
      <c r="B50" s="5" t="s">
        <v>210</v>
      </c>
      <c r="C50">
        <v>3</v>
      </c>
      <c r="D50">
        <v>3</v>
      </c>
      <c r="E50">
        <v>2</v>
      </c>
      <c r="F50">
        <v>2</v>
      </c>
      <c r="G50">
        <v>1</v>
      </c>
      <c r="H50">
        <v>3</v>
      </c>
      <c r="I50">
        <v>3</v>
      </c>
      <c r="J50">
        <v>3</v>
      </c>
      <c r="K50">
        <v>3</v>
      </c>
      <c r="N50">
        <v>4</v>
      </c>
      <c r="O50">
        <v>4</v>
      </c>
      <c r="P50">
        <v>5</v>
      </c>
      <c r="Q50">
        <v>4</v>
      </c>
      <c r="R50">
        <v>3</v>
      </c>
      <c r="S50">
        <v>4</v>
      </c>
      <c r="T50">
        <v>5</v>
      </c>
      <c r="U50">
        <v>3</v>
      </c>
      <c r="V50">
        <v>4</v>
      </c>
    </row>
    <row r="51" spans="1:22" x14ac:dyDescent="0.2">
      <c r="A51" s="8" t="s">
        <v>120</v>
      </c>
      <c r="B51" s="8" t="s">
        <v>121</v>
      </c>
      <c r="C51">
        <v>3</v>
      </c>
      <c r="D51">
        <v>3</v>
      </c>
      <c r="E51">
        <v>4</v>
      </c>
      <c r="F51">
        <v>5</v>
      </c>
      <c r="G51">
        <v>2</v>
      </c>
      <c r="H51">
        <v>4</v>
      </c>
      <c r="I51">
        <v>3</v>
      </c>
      <c r="J51">
        <v>2</v>
      </c>
      <c r="K51">
        <v>2</v>
      </c>
      <c r="N51">
        <v>5</v>
      </c>
      <c r="O51">
        <v>4</v>
      </c>
      <c r="P51">
        <v>4</v>
      </c>
      <c r="Q51">
        <v>4</v>
      </c>
      <c r="R51">
        <v>3</v>
      </c>
      <c r="S51">
        <v>5</v>
      </c>
      <c r="T51">
        <v>3</v>
      </c>
      <c r="U51">
        <v>3</v>
      </c>
      <c r="V51">
        <v>3</v>
      </c>
    </row>
    <row r="52" spans="1:22" x14ac:dyDescent="0.2">
      <c r="A52" s="5" t="s">
        <v>87</v>
      </c>
      <c r="B52" s="5" t="s">
        <v>88</v>
      </c>
      <c r="C52">
        <v>1</v>
      </c>
      <c r="D52">
        <v>5</v>
      </c>
      <c r="E52">
        <v>7</v>
      </c>
      <c r="F52">
        <v>6</v>
      </c>
      <c r="G52">
        <v>3</v>
      </c>
      <c r="H52">
        <v>4</v>
      </c>
      <c r="I52">
        <v>7</v>
      </c>
      <c r="J52">
        <v>5</v>
      </c>
      <c r="K52">
        <v>7</v>
      </c>
      <c r="N52">
        <v>7</v>
      </c>
      <c r="O52">
        <v>3</v>
      </c>
      <c r="P52">
        <v>4</v>
      </c>
      <c r="Q52">
        <v>6</v>
      </c>
      <c r="R52">
        <v>3</v>
      </c>
      <c r="S52">
        <v>4</v>
      </c>
      <c r="T52">
        <v>7</v>
      </c>
      <c r="U52">
        <v>3</v>
      </c>
      <c r="V52">
        <v>7</v>
      </c>
    </row>
    <row r="53" spans="1:22" x14ac:dyDescent="0.2">
      <c r="A53" s="8" t="s">
        <v>68</v>
      </c>
      <c r="B53" s="8" t="s">
        <v>69</v>
      </c>
      <c r="C53">
        <v>3</v>
      </c>
      <c r="D53">
        <v>4</v>
      </c>
      <c r="E53">
        <v>3</v>
      </c>
      <c r="F53">
        <v>3</v>
      </c>
      <c r="G53">
        <v>2</v>
      </c>
      <c r="H53">
        <v>3</v>
      </c>
      <c r="I53">
        <v>2</v>
      </c>
      <c r="J53">
        <v>2</v>
      </c>
      <c r="K53">
        <v>3</v>
      </c>
      <c r="N53">
        <v>4</v>
      </c>
      <c r="O53">
        <v>6</v>
      </c>
      <c r="P53">
        <v>4</v>
      </c>
      <c r="Q53">
        <v>3</v>
      </c>
      <c r="R53">
        <v>4</v>
      </c>
      <c r="S53">
        <v>5</v>
      </c>
      <c r="T53">
        <v>4</v>
      </c>
      <c r="U53">
        <v>4</v>
      </c>
      <c r="V53">
        <v>5</v>
      </c>
    </row>
    <row r="54" spans="1:22" x14ac:dyDescent="0.2">
      <c r="A54" s="5" t="s">
        <v>307</v>
      </c>
      <c r="B54" s="5" t="s">
        <v>308</v>
      </c>
      <c r="C54">
        <v>6</v>
      </c>
      <c r="D54">
        <v>3</v>
      </c>
      <c r="E54">
        <v>5</v>
      </c>
      <c r="F54">
        <v>4</v>
      </c>
      <c r="G54">
        <v>7</v>
      </c>
      <c r="H54">
        <v>5</v>
      </c>
      <c r="I54">
        <v>7</v>
      </c>
      <c r="J54">
        <v>3</v>
      </c>
      <c r="K54">
        <v>7</v>
      </c>
      <c r="N54">
        <v>6</v>
      </c>
      <c r="O54">
        <v>3</v>
      </c>
      <c r="P54">
        <v>3</v>
      </c>
      <c r="Q54">
        <v>5</v>
      </c>
      <c r="R54">
        <v>6</v>
      </c>
      <c r="S54">
        <v>5</v>
      </c>
      <c r="T54">
        <v>3</v>
      </c>
      <c r="U54">
        <v>4</v>
      </c>
      <c r="V54">
        <v>7</v>
      </c>
    </row>
    <row r="55" spans="1:22" x14ac:dyDescent="0.2">
      <c r="A55" s="8" t="s">
        <v>316</v>
      </c>
      <c r="B55" s="8" t="s">
        <v>317</v>
      </c>
      <c r="C55">
        <v>7</v>
      </c>
      <c r="D55">
        <v>2</v>
      </c>
      <c r="E55">
        <v>4</v>
      </c>
      <c r="F55">
        <v>3</v>
      </c>
      <c r="G55">
        <v>1</v>
      </c>
      <c r="H55">
        <v>3</v>
      </c>
      <c r="I55">
        <v>3</v>
      </c>
      <c r="J55">
        <v>3</v>
      </c>
      <c r="K55">
        <v>3</v>
      </c>
      <c r="N55">
        <v>3</v>
      </c>
      <c r="O55">
        <v>5</v>
      </c>
      <c r="P55">
        <v>3</v>
      </c>
      <c r="Q55">
        <v>4</v>
      </c>
      <c r="R55">
        <v>3</v>
      </c>
      <c r="S55">
        <v>4</v>
      </c>
      <c r="T55">
        <v>3</v>
      </c>
      <c r="U55">
        <v>4</v>
      </c>
      <c r="V55">
        <v>3</v>
      </c>
    </row>
    <row r="56" spans="1:22" x14ac:dyDescent="0.2">
      <c r="A56" s="5" t="s">
        <v>274</v>
      </c>
      <c r="B56" s="5" t="s">
        <v>275</v>
      </c>
      <c r="C56">
        <v>3</v>
      </c>
      <c r="D56">
        <v>5</v>
      </c>
      <c r="E56">
        <v>2</v>
      </c>
      <c r="F56">
        <v>4</v>
      </c>
      <c r="G56">
        <v>5</v>
      </c>
      <c r="H56">
        <v>6</v>
      </c>
      <c r="I56">
        <v>2</v>
      </c>
      <c r="J56">
        <v>1</v>
      </c>
      <c r="K56">
        <v>4</v>
      </c>
      <c r="N56">
        <v>3</v>
      </c>
      <c r="O56">
        <v>3</v>
      </c>
      <c r="P56">
        <v>2</v>
      </c>
      <c r="Q56">
        <v>2</v>
      </c>
      <c r="R56">
        <v>4</v>
      </c>
      <c r="S56">
        <v>3</v>
      </c>
      <c r="T56">
        <v>3</v>
      </c>
      <c r="U56">
        <v>3</v>
      </c>
      <c r="V56">
        <v>3</v>
      </c>
    </row>
    <row r="57" spans="1:22" x14ac:dyDescent="0.2">
      <c r="A57" s="8" t="s">
        <v>83</v>
      </c>
      <c r="B57" s="8" t="s">
        <v>84</v>
      </c>
      <c r="C57">
        <v>7</v>
      </c>
      <c r="D57">
        <v>4</v>
      </c>
      <c r="E57">
        <v>3</v>
      </c>
      <c r="F57">
        <v>5</v>
      </c>
      <c r="G57">
        <v>5</v>
      </c>
      <c r="H57">
        <v>5</v>
      </c>
      <c r="I57">
        <v>4</v>
      </c>
      <c r="J57">
        <v>3</v>
      </c>
      <c r="K57">
        <v>3</v>
      </c>
      <c r="N57">
        <v>7</v>
      </c>
      <c r="O57">
        <v>6</v>
      </c>
      <c r="P57">
        <v>4</v>
      </c>
      <c r="Q57">
        <v>5</v>
      </c>
      <c r="R57">
        <v>5</v>
      </c>
      <c r="S57">
        <v>5</v>
      </c>
      <c r="T57">
        <v>4</v>
      </c>
      <c r="U57">
        <v>4</v>
      </c>
      <c r="V57">
        <v>6</v>
      </c>
    </row>
    <row r="58" spans="1:22" x14ac:dyDescent="0.2">
      <c r="A58" s="5" t="s">
        <v>190</v>
      </c>
      <c r="B58" s="5" t="s">
        <v>191</v>
      </c>
      <c r="C58">
        <v>4</v>
      </c>
      <c r="D58">
        <v>3</v>
      </c>
      <c r="E58">
        <v>2</v>
      </c>
      <c r="F58">
        <v>3</v>
      </c>
      <c r="G58">
        <v>2</v>
      </c>
      <c r="H58">
        <v>2</v>
      </c>
      <c r="I58">
        <v>2</v>
      </c>
      <c r="J58">
        <v>1</v>
      </c>
      <c r="K58">
        <v>2</v>
      </c>
      <c r="N58">
        <v>5</v>
      </c>
      <c r="O58">
        <v>3</v>
      </c>
      <c r="P58">
        <v>3</v>
      </c>
      <c r="Q58">
        <v>3</v>
      </c>
      <c r="R58">
        <v>3</v>
      </c>
      <c r="S58">
        <v>5</v>
      </c>
      <c r="T58">
        <v>2</v>
      </c>
      <c r="U58">
        <v>3</v>
      </c>
      <c r="V58">
        <v>3</v>
      </c>
    </row>
    <row r="59" spans="1:22" x14ac:dyDescent="0.2">
      <c r="A59" s="8" t="s">
        <v>37</v>
      </c>
      <c r="B59" s="8" t="s">
        <v>38</v>
      </c>
      <c r="C59">
        <v>2</v>
      </c>
      <c r="D59">
        <v>3</v>
      </c>
      <c r="E59">
        <v>1</v>
      </c>
      <c r="F59">
        <v>1</v>
      </c>
      <c r="G59">
        <v>2</v>
      </c>
      <c r="H59">
        <v>2</v>
      </c>
      <c r="I59">
        <v>2</v>
      </c>
      <c r="J59">
        <v>2</v>
      </c>
      <c r="K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</row>
    <row r="60" spans="1:22" x14ac:dyDescent="0.2">
      <c r="A60" s="5" t="s">
        <v>295</v>
      </c>
      <c r="B60" s="5" t="s">
        <v>296</v>
      </c>
      <c r="C60">
        <v>3</v>
      </c>
      <c r="D60">
        <v>3</v>
      </c>
      <c r="E60">
        <v>4</v>
      </c>
      <c r="F60">
        <v>5</v>
      </c>
      <c r="G60">
        <v>1</v>
      </c>
      <c r="H60">
        <v>3</v>
      </c>
      <c r="I60">
        <v>2</v>
      </c>
      <c r="J60">
        <v>1</v>
      </c>
      <c r="K60">
        <v>3</v>
      </c>
      <c r="N60">
        <v>5</v>
      </c>
      <c r="O60">
        <v>4</v>
      </c>
      <c r="P60">
        <v>5</v>
      </c>
      <c r="Q60">
        <v>4</v>
      </c>
      <c r="R60">
        <v>4</v>
      </c>
      <c r="S60">
        <v>5</v>
      </c>
      <c r="T60">
        <v>6</v>
      </c>
      <c r="U60">
        <v>6</v>
      </c>
      <c r="V60">
        <v>7</v>
      </c>
    </row>
    <row r="61" spans="1:22" x14ac:dyDescent="0.2">
      <c r="A61" s="8" t="s">
        <v>271</v>
      </c>
      <c r="B61" s="8" t="s">
        <v>272</v>
      </c>
      <c r="C61">
        <v>1</v>
      </c>
      <c r="D61">
        <v>4</v>
      </c>
      <c r="E61">
        <v>5</v>
      </c>
      <c r="F61">
        <v>3</v>
      </c>
      <c r="G61">
        <v>7</v>
      </c>
      <c r="H61">
        <v>6</v>
      </c>
      <c r="I61">
        <v>5</v>
      </c>
      <c r="J61">
        <v>6</v>
      </c>
      <c r="K61">
        <v>7</v>
      </c>
      <c r="N61">
        <v>3</v>
      </c>
      <c r="O61">
        <v>4</v>
      </c>
      <c r="P61">
        <v>5</v>
      </c>
      <c r="Q61">
        <v>5</v>
      </c>
      <c r="R61">
        <v>7</v>
      </c>
      <c r="S61">
        <v>3</v>
      </c>
      <c r="T61">
        <v>4</v>
      </c>
      <c r="U61">
        <v>3</v>
      </c>
      <c r="V61">
        <v>6</v>
      </c>
    </row>
    <row r="62" spans="1:22" x14ac:dyDescent="0.2">
      <c r="A62" s="5" t="s">
        <v>199</v>
      </c>
      <c r="B62" s="5" t="s">
        <v>200</v>
      </c>
      <c r="C62">
        <v>4</v>
      </c>
      <c r="D62">
        <v>5</v>
      </c>
      <c r="E62">
        <v>5</v>
      </c>
      <c r="F62">
        <v>4</v>
      </c>
      <c r="G62">
        <v>2</v>
      </c>
      <c r="H62">
        <v>4</v>
      </c>
      <c r="I62">
        <v>3</v>
      </c>
      <c r="J62">
        <v>1</v>
      </c>
      <c r="K62">
        <v>3</v>
      </c>
      <c r="N62">
        <v>6</v>
      </c>
      <c r="O62">
        <v>5</v>
      </c>
      <c r="P62">
        <v>6</v>
      </c>
      <c r="Q62">
        <v>6</v>
      </c>
      <c r="R62">
        <v>7</v>
      </c>
      <c r="S62">
        <v>6</v>
      </c>
      <c r="T62">
        <v>6</v>
      </c>
      <c r="U62">
        <v>5</v>
      </c>
      <c r="V62">
        <v>5</v>
      </c>
    </row>
    <row r="63" spans="1:22" x14ac:dyDescent="0.2">
      <c r="A63" s="8" t="s">
        <v>203</v>
      </c>
      <c r="B63" s="8" t="s">
        <v>204</v>
      </c>
      <c r="C63">
        <v>3</v>
      </c>
      <c r="D63">
        <v>3</v>
      </c>
      <c r="E63">
        <v>3</v>
      </c>
      <c r="F63">
        <v>3</v>
      </c>
      <c r="G63">
        <v>1</v>
      </c>
      <c r="H63">
        <v>3</v>
      </c>
      <c r="I63">
        <v>3</v>
      </c>
      <c r="J63">
        <v>2</v>
      </c>
      <c r="K63">
        <v>3</v>
      </c>
      <c r="N63">
        <v>4</v>
      </c>
      <c r="O63">
        <v>4</v>
      </c>
      <c r="P63">
        <v>4</v>
      </c>
      <c r="Q63">
        <v>4</v>
      </c>
      <c r="R63">
        <v>5</v>
      </c>
      <c r="S63">
        <v>5</v>
      </c>
      <c r="T63">
        <v>5</v>
      </c>
      <c r="U63">
        <v>5</v>
      </c>
      <c r="V63">
        <v>4</v>
      </c>
    </row>
    <row r="64" spans="1:22" x14ac:dyDescent="0.2">
      <c r="A64" s="5" t="s">
        <v>261</v>
      </c>
      <c r="B64" s="5" t="s">
        <v>262</v>
      </c>
      <c r="C64">
        <v>4</v>
      </c>
      <c r="D64">
        <v>3</v>
      </c>
      <c r="E64">
        <v>3</v>
      </c>
      <c r="F64">
        <v>4</v>
      </c>
      <c r="G64">
        <v>3</v>
      </c>
      <c r="H64">
        <v>3</v>
      </c>
      <c r="I64">
        <v>4</v>
      </c>
      <c r="J64">
        <v>3</v>
      </c>
      <c r="K64">
        <v>3</v>
      </c>
      <c r="N64">
        <v>4</v>
      </c>
      <c r="O64">
        <v>5</v>
      </c>
      <c r="P64">
        <v>5</v>
      </c>
      <c r="Q64">
        <v>5</v>
      </c>
      <c r="R64">
        <v>5</v>
      </c>
      <c r="S64">
        <v>5</v>
      </c>
      <c r="T64">
        <v>4</v>
      </c>
      <c r="U64">
        <v>4</v>
      </c>
      <c r="V64">
        <v>4</v>
      </c>
    </row>
    <row r="65" spans="1:22" x14ac:dyDescent="0.2">
      <c r="A65" s="8" t="s">
        <v>166</v>
      </c>
      <c r="B65" s="8" t="s">
        <v>167</v>
      </c>
      <c r="C65">
        <v>3</v>
      </c>
      <c r="D65">
        <v>3</v>
      </c>
      <c r="E65">
        <v>3</v>
      </c>
      <c r="F65">
        <v>5</v>
      </c>
      <c r="G65">
        <v>2</v>
      </c>
      <c r="H65">
        <v>5</v>
      </c>
      <c r="I65">
        <v>2</v>
      </c>
      <c r="J65">
        <v>3</v>
      </c>
      <c r="K65">
        <v>4</v>
      </c>
      <c r="N65">
        <v>5</v>
      </c>
      <c r="O65">
        <v>4</v>
      </c>
      <c r="P65">
        <v>4</v>
      </c>
      <c r="Q65">
        <v>5</v>
      </c>
      <c r="R65">
        <v>5</v>
      </c>
      <c r="S65">
        <v>5</v>
      </c>
      <c r="T65">
        <v>6</v>
      </c>
      <c r="U65">
        <v>4</v>
      </c>
      <c r="V65">
        <v>5</v>
      </c>
    </row>
    <row r="66" spans="1:22" x14ac:dyDescent="0.2">
      <c r="A66" s="5" t="s">
        <v>280</v>
      </c>
      <c r="B66" s="5" t="s">
        <v>281</v>
      </c>
      <c r="C66">
        <v>3</v>
      </c>
      <c r="D66">
        <v>3</v>
      </c>
      <c r="E66">
        <v>3</v>
      </c>
      <c r="F66">
        <v>3</v>
      </c>
      <c r="G66">
        <v>2</v>
      </c>
      <c r="H66">
        <v>4</v>
      </c>
      <c r="I66">
        <v>3</v>
      </c>
      <c r="J66">
        <v>3</v>
      </c>
      <c r="K66">
        <v>3</v>
      </c>
      <c r="N66">
        <v>5</v>
      </c>
      <c r="O66">
        <v>4</v>
      </c>
      <c r="P66">
        <v>3</v>
      </c>
      <c r="Q66">
        <v>5</v>
      </c>
      <c r="R66">
        <v>3</v>
      </c>
      <c r="S66">
        <v>4</v>
      </c>
      <c r="T66">
        <v>6</v>
      </c>
      <c r="U66">
        <v>3</v>
      </c>
      <c r="V66">
        <v>3</v>
      </c>
    </row>
    <row r="67" spans="1:22" x14ac:dyDescent="0.2">
      <c r="A67" s="8" t="s">
        <v>133</v>
      </c>
      <c r="B67" s="8" t="s">
        <v>134</v>
      </c>
      <c r="C67">
        <v>3</v>
      </c>
      <c r="D67">
        <v>3</v>
      </c>
      <c r="E67">
        <v>3</v>
      </c>
      <c r="F67">
        <v>2</v>
      </c>
      <c r="G67">
        <v>2</v>
      </c>
      <c r="H67">
        <v>3</v>
      </c>
      <c r="I67">
        <v>3</v>
      </c>
      <c r="J67">
        <v>3</v>
      </c>
      <c r="K67">
        <v>3</v>
      </c>
      <c r="N67">
        <v>5</v>
      </c>
      <c r="O67">
        <v>3</v>
      </c>
      <c r="P67">
        <v>3</v>
      </c>
      <c r="Q67">
        <v>4</v>
      </c>
      <c r="R67">
        <v>3</v>
      </c>
      <c r="S67">
        <v>4</v>
      </c>
      <c r="T67">
        <v>4</v>
      </c>
      <c r="U67">
        <v>3</v>
      </c>
      <c r="V67">
        <v>3</v>
      </c>
    </row>
    <row r="68" spans="1:22" x14ac:dyDescent="0.2">
      <c r="A68" s="5" t="s">
        <v>313</v>
      </c>
      <c r="B68" s="5" t="s">
        <v>314</v>
      </c>
      <c r="C68">
        <v>3</v>
      </c>
      <c r="D68">
        <v>3</v>
      </c>
      <c r="E68">
        <v>2</v>
      </c>
      <c r="F68">
        <v>3</v>
      </c>
      <c r="G68">
        <v>1</v>
      </c>
      <c r="H68">
        <v>2</v>
      </c>
      <c r="I68">
        <v>2</v>
      </c>
      <c r="J68">
        <v>1</v>
      </c>
      <c r="K68">
        <v>2</v>
      </c>
      <c r="N68">
        <v>3</v>
      </c>
      <c r="O68">
        <v>3</v>
      </c>
      <c r="P68">
        <v>3</v>
      </c>
      <c r="Q68">
        <v>5</v>
      </c>
      <c r="R68">
        <v>3</v>
      </c>
      <c r="S68">
        <v>3</v>
      </c>
      <c r="T68">
        <v>3</v>
      </c>
      <c r="U68">
        <v>3</v>
      </c>
      <c r="V68">
        <v>3</v>
      </c>
    </row>
    <row r="69" spans="1:22" x14ac:dyDescent="0.2">
      <c r="A69" s="8" t="s">
        <v>157</v>
      </c>
      <c r="B69" s="8" t="s">
        <v>158</v>
      </c>
      <c r="C69">
        <v>3</v>
      </c>
      <c r="D69">
        <v>2</v>
      </c>
      <c r="E69">
        <v>3</v>
      </c>
      <c r="F69">
        <v>1</v>
      </c>
      <c r="G69">
        <v>1</v>
      </c>
      <c r="H69">
        <v>2</v>
      </c>
      <c r="I69">
        <v>1</v>
      </c>
      <c r="J69">
        <v>3</v>
      </c>
      <c r="K69">
        <v>3</v>
      </c>
      <c r="N69">
        <v>3</v>
      </c>
      <c r="O69">
        <v>3</v>
      </c>
      <c r="P69">
        <v>2</v>
      </c>
      <c r="Q69">
        <v>3</v>
      </c>
      <c r="R69">
        <v>1</v>
      </c>
      <c r="S69">
        <v>2</v>
      </c>
      <c r="T69">
        <v>2</v>
      </c>
      <c r="U69">
        <v>1</v>
      </c>
      <c r="V69">
        <v>3</v>
      </c>
    </row>
    <row r="70" spans="1:22" x14ac:dyDescent="0.2">
      <c r="A70" s="5" t="s">
        <v>160</v>
      </c>
      <c r="B70" s="5" t="s">
        <v>161</v>
      </c>
      <c r="C70">
        <v>3</v>
      </c>
      <c r="D70">
        <v>3</v>
      </c>
      <c r="E70">
        <v>3</v>
      </c>
      <c r="F70">
        <v>3</v>
      </c>
      <c r="G70">
        <v>2</v>
      </c>
      <c r="H70">
        <v>3</v>
      </c>
      <c r="I70">
        <v>2</v>
      </c>
      <c r="J70">
        <v>1</v>
      </c>
      <c r="K70">
        <v>2</v>
      </c>
      <c r="N70">
        <v>3</v>
      </c>
      <c r="O70">
        <v>5</v>
      </c>
      <c r="P70">
        <v>3</v>
      </c>
      <c r="Q70">
        <v>4</v>
      </c>
      <c r="R70">
        <v>3</v>
      </c>
      <c r="S70">
        <v>4</v>
      </c>
      <c r="T70">
        <v>3</v>
      </c>
      <c r="U70">
        <v>3</v>
      </c>
      <c r="V70">
        <v>3</v>
      </c>
    </row>
    <row r="71" spans="1:22" x14ac:dyDescent="0.2">
      <c r="A71" s="8" t="s">
        <v>283</v>
      </c>
      <c r="B71" s="8" t="s">
        <v>284</v>
      </c>
      <c r="C71">
        <v>6</v>
      </c>
      <c r="D71">
        <v>3</v>
      </c>
      <c r="E71">
        <v>2</v>
      </c>
      <c r="F71">
        <v>3</v>
      </c>
      <c r="G71">
        <v>1</v>
      </c>
      <c r="H71">
        <v>2</v>
      </c>
      <c r="I71">
        <v>3</v>
      </c>
      <c r="J71">
        <v>2</v>
      </c>
      <c r="K71">
        <v>2</v>
      </c>
      <c r="N71">
        <v>4</v>
      </c>
      <c r="O71">
        <v>4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</row>
    <row r="72" spans="1:22" x14ac:dyDescent="0.2">
      <c r="A72" s="5" t="s">
        <v>170</v>
      </c>
      <c r="B72" s="5" t="s">
        <v>171</v>
      </c>
      <c r="C72">
        <v>4</v>
      </c>
      <c r="D72">
        <v>3</v>
      </c>
      <c r="E72">
        <v>2</v>
      </c>
      <c r="F72">
        <v>4</v>
      </c>
      <c r="G72">
        <v>2</v>
      </c>
      <c r="H72">
        <v>3</v>
      </c>
      <c r="I72">
        <v>3</v>
      </c>
      <c r="J72">
        <v>2</v>
      </c>
      <c r="K72">
        <v>2</v>
      </c>
      <c r="N72">
        <v>5</v>
      </c>
      <c r="O72">
        <v>6</v>
      </c>
      <c r="P72">
        <v>6</v>
      </c>
      <c r="Q72">
        <v>3</v>
      </c>
      <c r="R72">
        <v>3</v>
      </c>
      <c r="S72">
        <v>4</v>
      </c>
      <c r="T72">
        <v>3</v>
      </c>
      <c r="U72">
        <v>5</v>
      </c>
      <c r="V72">
        <v>3</v>
      </c>
    </row>
    <row r="73" spans="1:22" x14ac:dyDescent="0.2">
      <c r="A73" s="8" t="s">
        <v>338</v>
      </c>
      <c r="B73" s="8" t="s">
        <v>339</v>
      </c>
      <c r="C73">
        <v>3</v>
      </c>
      <c r="D73">
        <v>3</v>
      </c>
      <c r="E73">
        <v>1</v>
      </c>
      <c r="F73">
        <v>2</v>
      </c>
      <c r="G73">
        <v>1</v>
      </c>
      <c r="H73">
        <v>5</v>
      </c>
      <c r="I73">
        <v>2</v>
      </c>
      <c r="J73">
        <v>1</v>
      </c>
      <c r="K73">
        <v>1</v>
      </c>
      <c r="N73">
        <v>4</v>
      </c>
      <c r="O73">
        <v>3</v>
      </c>
      <c r="P73">
        <v>4</v>
      </c>
      <c r="Q73">
        <v>4</v>
      </c>
      <c r="R73">
        <v>3</v>
      </c>
      <c r="S73">
        <v>5</v>
      </c>
      <c r="T73">
        <v>3</v>
      </c>
      <c r="U73">
        <v>3</v>
      </c>
      <c r="V73">
        <v>3</v>
      </c>
    </row>
    <row r="74" spans="1:22" x14ac:dyDescent="0.2">
      <c r="A74" s="5" t="s">
        <v>80</v>
      </c>
      <c r="B74" s="5" t="s">
        <v>81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4</v>
      </c>
      <c r="J74">
        <v>3</v>
      </c>
      <c r="K74">
        <v>3</v>
      </c>
      <c r="N74">
        <v>3</v>
      </c>
      <c r="O74">
        <v>6</v>
      </c>
      <c r="P74">
        <v>2</v>
      </c>
      <c r="Q74">
        <v>3</v>
      </c>
      <c r="R74">
        <v>3</v>
      </c>
      <c r="S74">
        <v>3</v>
      </c>
      <c r="T74">
        <v>6</v>
      </c>
      <c r="U74">
        <v>3</v>
      </c>
      <c r="V74">
        <v>3</v>
      </c>
    </row>
    <row r="75" spans="1:22" x14ac:dyDescent="0.2">
      <c r="A75" s="8" t="s">
        <v>65</v>
      </c>
      <c r="B75" s="8" t="s">
        <v>66</v>
      </c>
      <c r="C75">
        <v>2</v>
      </c>
      <c r="D75">
        <v>3</v>
      </c>
      <c r="E75">
        <v>2</v>
      </c>
      <c r="F75">
        <v>2</v>
      </c>
      <c r="G75">
        <v>1</v>
      </c>
      <c r="H75">
        <v>2</v>
      </c>
      <c r="I75">
        <v>2</v>
      </c>
      <c r="J75">
        <v>2</v>
      </c>
      <c r="K75">
        <v>1</v>
      </c>
      <c r="N75">
        <v>2</v>
      </c>
      <c r="O75">
        <v>3</v>
      </c>
      <c r="P75">
        <v>4</v>
      </c>
      <c r="Q75">
        <v>2</v>
      </c>
      <c r="R75">
        <v>3</v>
      </c>
      <c r="S75">
        <v>2</v>
      </c>
      <c r="T75">
        <v>2</v>
      </c>
      <c r="U75">
        <v>2</v>
      </c>
      <c r="V75">
        <v>3</v>
      </c>
    </row>
    <row r="76" spans="1:22" x14ac:dyDescent="0.2">
      <c r="A76" s="5" t="s">
        <v>292</v>
      </c>
      <c r="B76" s="5" t="s">
        <v>293</v>
      </c>
      <c r="C76">
        <v>5</v>
      </c>
      <c r="D76">
        <v>3</v>
      </c>
      <c r="E76">
        <v>3</v>
      </c>
      <c r="F76">
        <v>5</v>
      </c>
      <c r="G76">
        <v>4</v>
      </c>
      <c r="H76">
        <v>5</v>
      </c>
      <c r="I76">
        <v>4</v>
      </c>
      <c r="J76">
        <v>4</v>
      </c>
      <c r="K76">
        <v>3</v>
      </c>
      <c r="N76">
        <v>4</v>
      </c>
      <c r="O76">
        <v>5</v>
      </c>
      <c r="P76">
        <v>3</v>
      </c>
      <c r="Q76">
        <v>5</v>
      </c>
      <c r="R76">
        <v>5</v>
      </c>
      <c r="S76">
        <v>4</v>
      </c>
      <c r="T76">
        <v>3</v>
      </c>
      <c r="U76">
        <v>4</v>
      </c>
      <c r="V76">
        <v>3</v>
      </c>
    </row>
    <row r="77" spans="1:22" x14ac:dyDescent="0.2">
      <c r="A77" s="8" t="s">
        <v>334</v>
      </c>
      <c r="B77" s="8" t="s">
        <v>335</v>
      </c>
      <c r="C77">
        <v>7</v>
      </c>
      <c r="D77">
        <v>3</v>
      </c>
      <c r="E77">
        <v>5</v>
      </c>
      <c r="F77">
        <v>5</v>
      </c>
      <c r="G77">
        <v>3</v>
      </c>
      <c r="H77">
        <v>3</v>
      </c>
      <c r="I77">
        <v>6</v>
      </c>
      <c r="J77">
        <v>6</v>
      </c>
      <c r="K77">
        <v>6</v>
      </c>
      <c r="N77">
        <v>7</v>
      </c>
      <c r="O77">
        <v>6</v>
      </c>
      <c r="P77">
        <v>6</v>
      </c>
      <c r="Q77">
        <v>5</v>
      </c>
      <c r="R77">
        <v>6</v>
      </c>
      <c r="S77">
        <v>5</v>
      </c>
      <c r="T77">
        <v>5</v>
      </c>
      <c r="U77">
        <v>4</v>
      </c>
      <c r="V77">
        <v>5</v>
      </c>
    </row>
    <row r="78" spans="1:22" x14ac:dyDescent="0.2">
      <c r="A78" s="5" t="s">
        <v>289</v>
      </c>
      <c r="B78" s="5" t="s">
        <v>290</v>
      </c>
      <c r="C78">
        <v>2</v>
      </c>
      <c r="D78">
        <v>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  <c r="K78">
        <v>1</v>
      </c>
      <c r="N78">
        <v>3</v>
      </c>
      <c r="O78">
        <v>2</v>
      </c>
      <c r="P78">
        <v>3</v>
      </c>
      <c r="Q78">
        <v>2</v>
      </c>
      <c r="R78">
        <v>3</v>
      </c>
      <c r="S78">
        <v>4</v>
      </c>
      <c r="T78">
        <v>2</v>
      </c>
      <c r="U78">
        <v>2</v>
      </c>
      <c r="V78">
        <v>2</v>
      </c>
    </row>
    <row r="79" spans="1:22" x14ac:dyDescent="0.2">
      <c r="A79" s="8" t="s">
        <v>325</v>
      </c>
      <c r="B79" s="8" t="s">
        <v>326</v>
      </c>
      <c r="C79">
        <v>7</v>
      </c>
      <c r="D79">
        <v>3</v>
      </c>
      <c r="E79">
        <v>3</v>
      </c>
      <c r="F79">
        <v>6</v>
      </c>
      <c r="G79">
        <v>2</v>
      </c>
      <c r="H79">
        <v>4</v>
      </c>
      <c r="I79">
        <v>4</v>
      </c>
      <c r="J79">
        <v>7</v>
      </c>
      <c r="K79">
        <v>6</v>
      </c>
      <c r="N79">
        <v>6</v>
      </c>
      <c r="O79">
        <v>6</v>
      </c>
      <c r="P79">
        <v>7</v>
      </c>
      <c r="Q79">
        <v>5</v>
      </c>
      <c r="R79">
        <v>6</v>
      </c>
      <c r="S79">
        <v>4</v>
      </c>
      <c r="T79">
        <v>7</v>
      </c>
      <c r="U79">
        <v>4</v>
      </c>
      <c r="V79">
        <v>6</v>
      </c>
    </row>
    <row r="80" spans="1:22" x14ac:dyDescent="0.2">
      <c r="A80" s="5" t="s">
        <v>13</v>
      </c>
      <c r="B80" s="5" t="s">
        <v>14</v>
      </c>
      <c r="C80">
        <v>6</v>
      </c>
      <c r="D80">
        <v>4</v>
      </c>
      <c r="E80">
        <v>4</v>
      </c>
      <c r="F80">
        <v>5</v>
      </c>
      <c r="G80">
        <v>5</v>
      </c>
      <c r="H80">
        <v>4</v>
      </c>
      <c r="I80">
        <v>4</v>
      </c>
      <c r="J80">
        <v>3</v>
      </c>
      <c r="K80">
        <v>5</v>
      </c>
      <c r="N80">
        <v>6</v>
      </c>
      <c r="O80">
        <v>6</v>
      </c>
      <c r="P80">
        <v>7</v>
      </c>
      <c r="Q80">
        <v>6</v>
      </c>
      <c r="R80">
        <v>6</v>
      </c>
      <c r="S80">
        <v>6</v>
      </c>
      <c r="T80">
        <v>5</v>
      </c>
      <c r="U80">
        <v>4</v>
      </c>
      <c r="V80">
        <v>6</v>
      </c>
    </row>
    <row r="81" spans="1:23" x14ac:dyDescent="0.2">
      <c r="A81" s="8" t="s">
        <v>248</v>
      </c>
      <c r="B81" s="8" t="s">
        <v>249</v>
      </c>
      <c r="C81">
        <v>5</v>
      </c>
      <c r="D81">
        <v>3</v>
      </c>
      <c r="E81">
        <v>3</v>
      </c>
      <c r="F81">
        <v>4</v>
      </c>
      <c r="G81">
        <v>6</v>
      </c>
      <c r="H81">
        <v>7</v>
      </c>
      <c r="I81">
        <v>7</v>
      </c>
      <c r="J81">
        <v>7</v>
      </c>
      <c r="K81">
        <v>7</v>
      </c>
      <c r="N81">
        <v>3</v>
      </c>
      <c r="O81">
        <v>3</v>
      </c>
      <c r="P81">
        <v>3</v>
      </c>
      <c r="Q81">
        <v>1</v>
      </c>
      <c r="R81">
        <v>6</v>
      </c>
      <c r="S81">
        <v>7</v>
      </c>
      <c r="T81">
        <v>6</v>
      </c>
      <c r="U81">
        <v>5</v>
      </c>
      <c r="V81">
        <v>2</v>
      </c>
    </row>
    <row r="82" spans="1:23" x14ac:dyDescent="0.2">
      <c r="A82" s="5" t="s">
        <v>277</v>
      </c>
      <c r="B82" s="5" t="s">
        <v>278</v>
      </c>
      <c r="C82">
        <v>4</v>
      </c>
      <c r="D82">
        <v>3</v>
      </c>
      <c r="E82">
        <v>2</v>
      </c>
      <c r="F82">
        <v>7</v>
      </c>
      <c r="G82">
        <v>1</v>
      </c>
      <c r="H82">
        <v>4</v>
      </c>
      <c r="I82">
        <v>7</v>
      </c>
      <c r="J82">
        <v>5</v>
      </c>
      <c r="K82">
        <v>6</v>
      </c>
      <c r="N82">
        <v>7</v>
      </c>
      <c r="O82">
        <v>6</v>
      </c>
      <c r="P82">
        <v>4</v>
      </c>
      <c r="Q82">
        <v>3</v>
      </c>
      <c r="R82">
        <v>3</v>
      </c>
      <c r="S82">
        <v>4</v>
      </c>
      <c r="T82">
        <v>4</v>
      </c>
      <c r="U82">
        <v>2</v>
      </c>
      <c r="V82">
        <v>6</v>
      </c>
    </row>
    <row r="83" spans="1:23" x14ac:dyDescent="0.2">
      <c r="A83" s="8" t="s">
        <v>245</v>
      </c>
      <c r="B83" s="8" t="s">
        <v>246</v>
      </c>
      <c r="C83">
        <v>2</v>
      </c>
      <c r="D83">
        <v>3</v>
      </c>
      <c r="E83">
        <v>3</v>
      </c>
      <c r="F83">
        <v>2</v>
      </c>
      <c r="G83">
        <v>2</v>
      </c>
      <c r="H83">
        <v>2</v>
      </c>
      <c r="I83">
        <v>2</v>
      </c>
      <c r="J83">
        <v>3</v>
      </c>
      <c r="K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2</v>
      </c>
      <c r="T83">
        <v>3</v>
      </c>
      <c r="U83">
        <v>3</v>
      </c>
      <c r="V83">
        <v>3</v>
      </c>
    </row>
    <row r="84" spans="1:23" x14ac:dyDescent="0.2">
      <c r="A84" s="5" t="s">
        <v>98</v>
      </c>
      <c r="B84" s="5" t="s">
        <v>99</v>
      </c>
      <c r="C84">
        <v>3</v>
      </c>
      <c r="D84">
        <v>3</v>
      </c>
      <c r="E84">
        <v>1</v>
      </c>
      <c r="F84">
        <v>4</v>
      </c>
      <c r="G84">
        <v>1</v>
      </c>
      <c r="H84">
        <v>2</v>
      </c>
      <c r="I84">
        <v>2</v>
      </c>
      <c r="J84">
        <v>2</v>
      </c>
      <c r="K84">
        <v>2</v>
      </c>
      <c r="N84">
        <v>4</v>
      </c>
      <c r="O84">
        <v>3</v>
      </c>
      <c r="P84">
        <v>5</v>
      </c>
      <c r="Q84">
        <v>5</v>
      </c>
      <c r="R84">
        <v>5</v>
      </c>
      <c r="S84">
        <v>4</v>
      </c>
      <c r="T84">
        <v>2</v>
      </c>
      <c r="U84">
        <v>3</v>
      </c>
      <c r="V84">
        <v>3</v>
      </c>
    </row>
    <row r="85" spans="1:23" x14ac:dyDescent="0.2">
      <c r="A85" s="8" t="s">
        <v>268</v>
      </c>
      <c r="B85" s="8" t="s">
        <v>269</v>
      </c>
      <c r="C85">
        <v>5</v>
      </c>
      <c r="D85">
        <v>6</v>
      </c>
      <c r="E85">
        <v>2</v>
      </c>
      <c r="F85">
        <v>2</v>
      </c>
      <c r="G85">
        <v>3</v>
      </c>
      <c r="H85">
        <v>3</v>
      </c>
      <c r="I85">
        <v>2</v>
      </c>
      <c r="J85">
        <v>1</v>
      </c>
      <c r="K85">
        <v>2</v>
      </c>
      <c r="N85">
        <v>6</v>
      </c>
      <c r="O85">
        <v>5</v>
      </c>
      <c r="P85">
        <v>5</v>
      </c>
      <c r="Q85">
        <v>5</v>
      </c>
      <c r="R85">
        <v>5</v>
      </c>
      <c r="S85">
        <v>6</v>
      </c>
      <c r="T85">
        <v>4</v>
      </c>
      <c r="U85">
        <v>4</v>
      </c>
      <c r="V85">
        <v>5</v>
      </c>
    </row>
    <row r="86" spans="1:23" x14ac:dyDescent="0.2">
      <c r="A86" s="8" t="s">
        <v>310</v>
      </c>
      <c r="B86" s="8" t="s">
        <v>311</v>
      </c>
      <c r="C86">
        <v>7</v>
      </c>
      <c r="D86">
        <v>5</v>
      </c>
      <c r="E86">
        <v>5</v>
      </c>
      <c r="F86">
        <v>4</v>
      </c>
      <c r="G86">
        <v>4</v>
      </c>
      <c r="H86">
        <v>5</v>
      </c>
      <c r="I86">
        <v>5</v>
      </c>
      <c r="J86">
        <v>5</v>
      </c>
      <c r="K86">
        <v>4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6</v>
      </c>
      <c r="U86">
        <v>5</v>
      </c>
      <c r="V86">
        <v>6</v>
      </c>
    </row>
    <row r="87" spans="1:23" x14ac:dyDescent="0.2">
      <c r="A87" s="5" t="s">
        <v>301</v>
      </c>
      <c r="B87" s="5" t="s">
        <v>302</v>
      </c>
      <c r="C87">
        <v>3</v>
      </c>
      <c r="D87">
        <v>2</v>
      </c>
      <c r="E87">
        <v>4</v>
      </c>
      <c r="F87">
        <v>3</v>
      </c>
      <c r="G87">
        <v>1</v>
      </c>
      <c r="H87">
        <v>2</v>
      </c>
      <c r="I87">
        <v>1</v>
      </c>
      <c r="J87">
        <v>3</v>
      </c>
      <c r="K87">
        <v>1</v>
      </c>
      <c r="N87">
        <v>3</v>
      </c>
      <c r="O87">
        <v>3</v>
      </c>
      <c r="P87">
        <v>4</v>
      </c>
      <c r="Q87">
        <v>4</v>
      </c>
      <c r="R87">
        <v>3</v>
      </c>
      <c r="S87">
        <v>5</v>
      </c>
      <c r="T87">
        <v>4</v>
      </c>
      <c r="U87">
        <v>3</v>
      </c>
      <c r="V87">
        <v>2</v>
      </c>
    </row>
    <row r="88" spans="1:23" x14ac:dyDescent="0.2">
      <c r="A88" s="11" t="s">
        <v>154</v>
      </c>
      <c r="B88" s="11" t="s">
        <v>155</v>
      </c>
      <c r="C88">
        <v>2</v>
      </c>
      <c r="D88">
        <v>3</v>
      </c>
      <c r="E88">
        <v>1</v>
      </c>
      <c r="F88">
        <v>3</v>
      </c>
      <c r="G88">
        <v>2</v>
      </c>
      <c r="H88">
        <v>2</v>
      </c>
      <c r="I88">
        <v>2</v>
      </c>
      <c r="J88">
        <v>1</v>
      </c>
      <c r="K88">
        <v>2</v>
      </c>
      <c r="N88">
        <v>4</v>
      </c>
      <c r="O88">
        <v>4</v>
      </c>
      <c r="P88">
        <v>3</v>
      </c>
      <c r="Q88">
        <v>4</v>
      </c>
      <c r="R88">
        <v>5</v>
      </c>
      <c r="S88">
        <v>4</v>
      </c>
      <c r="T88">
        <v>4</v>
      </c>
      <c r="U88">
        <v>3</v>
      </c>
      <c r="V88">
        <v>3</v>
      </c>
    </row>
    <row r="90" spans="1:23" x14ac:dyDescent="0.2">
      <c r="B90" s="24" t="s">
        <v>369</v>
      </c>
      <c r="C90" s="14">
        <f>AVERAGE(C3:C88)</f>
        <v>3.558139534883721</v>
      </c>
      <c r="D90" s="14">
        <f t="shared" ref="D90:K90" si="0">AVERAGE(D3:D88)</f>
        <v>3.2093023255813953</v>
      </c>
      <c r="E90" s="14">
        <f t="shared" si="0"/>
        <v>2.9651162790697674</v>
      </c>
      <c r="F90" s="14">
        <f t="shared" si="0"/>
        <v>3.5</v>
      </c>
      <c r="G90" s="14">
        <f t="shared" si="0"/>
        <v>2.558139534883721</v>
      </c>
      <c r="H90" s="14">
        <f t="shared" si="0"/>
        <v>3.5116279069767442</v>
      </c>
      <c r="I90" s="14">
        <f t="shared" si="0"/>
        <v>3.0348837209302326</v>
      </c>
      <c r="J90" s="14">
        <f t="shared" si="0"/>
        <v>2.6511627906976742</v>
      </c>
      <c r="K90" s="14">
        <f t="shared" si="0"/>
        <v>3.13953488372093</v>
      </c>
      <c r="L90" s="14">
        <f>AVERAGE(C90:K90)</f>
        <v>3.125322997416021</v>
      </c>
      <c r="N90">
        <f>ROUND(AVERAGE(N3:N88),2)</f>
        <v>4.3499999999999996</v>
      </c>
      <c r="O90">
        <f t="shared" ref="O90:V90" si="1">ROUND(AVERAGE(O3:O88),2)</f>
        <v>4.24</v>
      </c>
      <c r="P90">
        <f t="shared" si="1"/>
        <v>3.95</v>
      </c>
      <c r="Q90">
        <f t="shared" si="1"/>
        <v>4.2300000000000004</v>
      </c>
      <c r="R90">
        <f t="shared" si="1"/>
        <v>3.98</v>
      </c>
      <c r="S90">
        <f t="shared" si="1"/>
        <v>4.33</v>
      </c>
      <c r="T90">
        <f t="shared" si="1"/>
        <v>3.98</v>
      </c>
      <c r="U90">
        <f t="shared" si="1"/>
        <v>3.6</v>
      </c>
      <c r="V90">
        <f t="shared" si="1"/>
        <v>4.09</v>
      </c>
      <c r="W90">
        <f>ROUND(AVERAGE(N90:V90),2)</f>
        <v>4.08</v>
      </c>
    </row>
    <row r="91" spans="1:23" x14ac:dyDescent="0.2">
      <c r="B91" s="24" t="s">
        <v>370</v>
      </c>
      <c r="C91">
        <f>STDEV(C3:C88)</f>
        <v>1.6563933261424328</v>
      </c>
      <c r="D91">
        <f t="shared" ref="D91:K91" si="2">STDEV(D3:D88)</f>
        <v>1.0416760145499391</v>
      </c>
      <c r="E91">
        <f t="shared" si="2"/>
        <v>1.3411818705341649</v>
      </c>
      <c r="F91">
        <f t="shared" si="2"/>
        <v>1.4204390373484985</v>
      </c>
      <c r="G91">
        <f t="shared" si="2"/>
        <v>1.5076639597718964</v>
      </c>
      <c r="H91">
        <f t="shared" si="2"/>
        <v>1.3349966824943276</v>
      </c>
      <c r="I91">
        <f t="shared" si="2"/>
        <v>1.4986085657632326</v>
      </c>
      <c r="J91">
        <f t="shared" si="2"/>
        <v>1.4614049795877544</v>
      </c>
      <c r="K91">
        <f t="shared" si="2"/>
        <v>1.7767305777263005</v>
      </c>
      <c r="L91">
        <f>STDEV(C3:K88)</f>
        <v>1.4946405631462465</v>
      </c>
      <c r="N91">
        <f>STDEV(N3:N88)</f>
        <v>1.4288410923909849</v>
      </c>
      <c r="O91">
        <f t="shared" ref="O91:V91" si="3">STDEV(O3:O88)</f>
        <v>1.1675620302113476</v>
      </c>
      <c r="P91">
        <f t="shared" si="3"/>
        <v>1.2166199729935108</v>
      </c>
      <c r="Q91">
        <f t="shared" si="3"/>
        <v>1.2240186331208709</v>
      </c>
      <c r="R91">
        <f t="shared" si="3"/>
        <v>1.3458148127658269</v>
      </c>
      <c r="S91">
        <f t="shared" si="3"/>
        <v>1.2121139576120845</v>
      </c>
      <c r="T91">
        <f t="shared" si="3"/>
        <v>1.4140200862709005</v>
      </c>
      <c r="U91">
        <f t="shared" si="3"/>
        <v>1.2859335795439177</v>
      </c>
      <c r="V91">
        <f t="shared" si="3"/>
        <v>1.4921591696893792</v>
      </c>
      <c r="W91">
        <f>STDEV(N3:V88)</f>
        <v>1.3261921794579525</v>
      </c>
    </row>
    <row r="92" spans="1:23" x14ac:dyDescent="0.2">
      <c r="B92" s="24" t="s">
        <v>371</v>
      </c>
      <c r="C92">
        <f>ROUND(C91,3)</f>
        <v>1.6559999999999999</v>
      </c>
      <c r="D92">
        <f t="shared" ref="D92:L92" si="4">ROUND(D91,3)</f>
        <v>1.042</v>
      </c>
      <c r="E92">
        <f t="shared" si="4"/>
        <v>1.341</v>
      </c>
      <c r="F92">
        <f t="shared" si="4"/>
        <v>1.42</v>
      </c>
      <c r="G92">
        <f t="shared" si="4"/>
        <v>1.508</v>
      </c>
      <c r="H92">
        <f t="shared" si="4"/>
        <v>1.335</v>
      </c>
      <c r="I92">
        <f t="shared" si="4"/>
        <v>1.4990000000000001</v>
      </c>
      <c r="J92">
        <f t="shared" si="4"/>
        <v>1.4610000000000001</v>
      </c>
      <c r="K92">
        <f t="shared" si="4"/>
        <v>1.7769999999999999</v>
      </c>
      <c r="L92">
        <f t="shared" si="4"/>
        <v>1.4950000000000001</v>
      </c>
      <c r="N92">
        <f>ROUND(N91,3)</f>
        <v>1.429</v>
      </c>
      <c r="O92">
        <f t="shared" ref="O92:W92" si="5">ROUND(O91,3)</f>
        <v>1.1679999999999999</v>
      </c>
      <c r="P92">
        <f t="shared" si="5"/>
        <v>1.2170000000000001</v>
      </c>
      <c r="Q92">
        <f t="shared" si="5"/>
        <v>1.224</v>
      </c>
      <c r="R92">
        <f t="shared" si="5"/>
        <v>1.3460000000000001</v>
      </c>
      <c r="S92">
        <f t="shared" si="5"/>
        <v>1.212</v>
      </c>
      <c r="T92">
        <f t="shared" si="5"/>
        <v>1.4139999999999999</v>
      </c>
      <c r="U92">
        <f t="shared" si="5"/>
        <v>1.286</v>
      </c>
      <c r="V92">
        <f t="shared" si="5"/>
        <v>1.492</v>
      </c>
      <c r="W92">
        <f t="shared" si="5"/>
        <v>1.3260000000000001</v>
      </c>
    </row>
    <row r="93" spans="1:23" x14ac:dyDescent="0.2">
      <c r="B93" s="24" t="s">
        <v>374</v>
      </c>
      <c r="C93" s="25" t="s">
        <v>384</v>
      </c>
      <c r="D93" s="25" t="s">
        <v>384</v>
      </c>
      <c r="E93" s="25" t="s">
        <v>384</v>
      </c>
      <c r="F93" s="25" t="s">
        <v>384</v>
      </c>
      <c r="G93" s="25" t="s">
        <v>383</v>
      </c>
      <c r="H93" s="25" t="s">
        <v>384</v>
      </c>
      <c r="I93" s="25" t="s">
        <v>384</v>
      </c>
      <c r="J93" s="25" t="s">
        <v>383</v>
      </c>
      <c r="K93" s="25" t="s">
        <v>384</v>
      </c>
      <c r="L93" s="25" t="s">
        <v>384</v>
      </c>
      <c r="N93" s="25" t="s">
        <v>385</v>
      </c>
      <c r="O93" s="25" t="s">
        <v>385</v>
      </c>
      <c r="P93" s="25" t="s">
        <v>385</v>
      </c>
      <c r="Q93" s="25" t="s">
        <v>385</v>
      </c>
      <c r="R93" s="25" t="s">
        <v>385</v>
      </c>
      <c r="S93" s="25" t="s">
        <v>385</v>
      </c>
      <c r="T93" s="25" t="s">
        <v>385</v>
      </c>
      <c r="U93" s="25" t="s">
        <v>385</v>
      </c>
      <c r="V93" s="25" t="s">
        <v>385</v>
      </c>
      <c r="W93" s="25" t="s">
        <v>385</v>
      </c>
    </row>
    <row r="95" spans="1:23" x14ac:dyDescent="0.2">
      <c r="B95" s="26" t="s">
        <v>372</v>
      </c>
      <c r="C95" s="27" t="s">
        <v>373</v>
      </c>
      <c r="D95" s="27" t="s">
        <v>374</v>
      </c>
    </row>
    <row r="96" spans="1:23" x14ac:dyDescent="0.2">
      <c r="B96" s="15">
        <v>1</v>
      </c>
      <c r="C96" s="25" t="s">
        <v>375</v>
      </c>
      <c r="D96" s="25" t="s">
        <v>382</v>
      </c>
      <c r="F96" s="13"/>
    </row>
    <row r="97" spans="2:11" x14ac:dyDescent="0.2">
      <c r="B97" s="15">
        <v>2</v>
      </c>
      <c r="C97" s="25" t="s">
        <v>376</v>
      </c>
      <c r="D97" s="25" t="s">
        <v>383</v>
      </c>
    </row>
    <row r="98" spans="2:11" x14ac:dyDescent="0.2">
      <c r="B98" s="15">
        <v>3</v>
      </c>
      <c r="C98" s="25" t="s">
        <v>377</v>
      </c>
      <c r="D98" s="25" t="s">
        <v>384</v>
      </c>
    </row>
    <row r="99" spans="2:11" x14ac:dyDescent="0.2">
      <c r="B99" s="15">
        <v>4</v>
      </c>
      <c r="C99" s="25" t="s">
        <v>378</v>
      </c>
      <c r="D99" s="25" t="s">
        <v>385</v>
      </c>
    </row>
    <row r="100" spans="2:11" x14ac:dyDescent="0.2">
      <c r="B100" s="15">
        <v>5</v>
      </c>
      <c r="C100" s="25" t="s">
        <v>379</v>
      </c>
      <c r="D100" s="25" t="s">
        <v>386</v>
      </c>
    </row>
    <row r="101" spans="2:11" x14ac:dyDescent="0.2">
      <c r="B101" s="15">
        <v>6</v>
      </c>
      <c r="C101" s="25" t="s">
        <v>380</v>
      </c>
      <c r="D101" s="25" t="s">
        <v>387</v>
      </c>
    </row>
    <row r="102" spans="2:11" x14ac:dyDescent="0.2">
      <c r="B102" s="15">
        <v>7</v>
      </c>
      <c r="C102" s="25" t="s">
        <v>381</v>
      </c>
      <c r="D102" s="25" t="s">
        <v>388</v>
      </c>
    </row>
    <row r="106" spans="2:11" x14ac:dyDescent="0.2">
      <c r="C106" s="30" t="s">
        <v>352</v>
      </c>
      <c r="D106" s="32" t="s">
        <v>353</v>
      </c>
      <c r="E106" s="33"/>
      <c r="F106" s="34"/>
      <c r="G106" s="35" t="s">
        <v>354</v>
      </c>
      <c r="H106" s="33"/>
      <c r="I106" s="34"/>
      <c r="J106" s="36" t="s">
        <v>355</v>
      </c>
      <c r="K106" s="38" t="s">
        <v>356</v>
      </c>
    </row>
    <row r="107" spans="2:11" ht="29.1" customHeight="1" x14ac:dyDescent="0.2">
      <c r="C107" s="31"/>
      <c r="D107" s="16" t="s">
        <v>357</v>
      </c>
      <c r="E107" s="16" t="s">
        <v>358</v>
      </c>
      <c r="F107" s="16" t="s">
        <v>359</v>
      </c>
      <c r="G107" s="16" t="s">
        <v>357</v>
      </c>
      <c r="H107" s="16" t="s">
        <v>358</v>
      </c>
      <c r="I107" s="16" t="s">
        <v>359</v>
      </c>
      <c r="J107" s="37"/>
      <c r="K107" s="37"/>
    </row>
    <row r="108" spans="2:11" ht="25.5" x14ac:dyDescent="0.2">
      <c r="C108" s="17" t="s">
        <v>360</v>
      </c>
      <c r="D108" s="20">
        <v>3.56</v>
      </c>
      <c r="E108" s="21">
        <v>1.6559999999999999</v>
      </c>
      <c r="F108" s="25" t="s">
        <v>384</v>
      </c>
      <c r="G108" s="20">
        <v>4.3499999999999996</v>
      </c>
      <c r="H108" s="21">
        <v>1.429</v>
      </c>
      <c r="I108" s="25" t="s">
        <v>385</v>
      </c>
      <c r="J108" s="18">
        <f>G108-D108</f>
        <v>0.78999999999999959</v>
      </c>
      <c r="K108" s="19">
        <v>6</v>
      </c>
    </row>
    <row r="109" spans="2:11" ht="25.5" x14ac:dyDescent="0.2">
      <c r="C109" s="17" t="s">
        <v>361</v>
      </c>
      <c r="D109" s="20">
        <v>3.21</v>
      </c>
      <c r="E109" s="21">
        <v>1.042</v>
      </c>
      <c r="F109" s="25" t="s">
        <v>384</v>
      </c>
      <c r="G109" s="20">
        <v>4.24</v>
      </c>
      <c r="H109" s="21">
        <v>1.1679999999999999</v>
      </c>
      <c r="I109" s="25" t="s">
        <v>385</v>
      </c>
      <c r="J109" s="18">
        <f t="shared" ref="J109:J117" si="6">G109-D109</f>
        <v>1.0300000000000002</v>
      </c>
      <c r="K109" s="19">
        <v>2</v>
      </c>
    </row>
    <row r="110" spans="2:11" ht="25.5" x14ac:dyDescent="0.2">
      <c r="C110" s="17" t="s">
        <v>362</v>
      </c>
      <c r="D110" s="20">
        <v>2.97</v>
      </c>
      <c r="E110" s="21">
        <v>1.341</v>
      </c>
      <c r="F110" s="25" t="s">
        <v>384</v>
      </c>
      <c r="G110" s="20">
        <v>3.95</v>
      </c>
      <c r="H110" s="21">
        <v>1.2170000000000001</v>
      </c>
      <c r="I110" s="25" t="s">
        <v>385</v>
      </c>
      <c r="J110" s="18">
        <f t="shared" si="6"/>
        <v>0.98</v>
      </c>
      <c r="K110" s="19">
        <v>3</v>
      </c>
    </row>
    <row r="111" spans="2:11" ht="25.5" x14ac:dyDescent="0.2">
      <c r="C111" s="17" t="s">
        <v>363</v>
      </c>
      <c r="D111" s="20">
        <v>3.5</v>
      </c>
      <c r="E111" s="21">
        <v>1.42</v>
      </c>
      <c r="F111" s="25" t="s">
        <v>384</v>
      </c>
      <c r="G111" s="20">
        <v>4.2300000000000004</v>
      </c>
      <c r="H111" s="21">
        <v>1.224</v>
      </c>
      <c r="I111" s="25" t="s">
        <v>385</v>
      </c>
      <c r="J111" s="18">
        <f t="shared" si="6"/>
        <v>0.73000000000000043</v>
      </c>
      <c r="K111" s="19">
        <v>7</v>
      </c>
    </row>
    <row r="112" spans="2:11" ht="25.5" x14ac:dyDescent="0.2">
      <c r="C112" s="17" t="s">
        <v>364</v>
      </c>
      <c r="D112" s="20">
        <v>2.56</v>
      </c>
      <c r="E112" s="21">
        <v>1.508</v>
      </c>
      <c r="F112" s="25" t="s">
        <v>383</v>
      </c>
      <c r="G112" s="20">
        <v>3.98</v>
      </c>
      <c r="H112" s="22">
        <v>1.3460000000000001</v>
      </c>
      <c r="I112" s="25" t="s">
        <v>385</v>
      </c>
      <c r="J112" s="18">
        <f t="shared" si="6"/>
        <v>1.42</v>
      </c>
      <c r="K112" s="19">
        <v>1</v>
      </c>
    </row>
    <row r="113" spans="3:11" ht="25.5" x14ac:dyDescent="0.2">
      <c r="C113" s="17" t="s">
        <v>365</v>
      </c>
      <c r="D113" s="20">
        <v>3.51</v>
      </c>
      <c r="E113" s="21">
        <v>1.335</v>
      </c>
      <c r="F113" s="25" t="s">
        <v>384</v>
      </c>
      <c r="G113" s="20">
        <v>4.33</v>
      </c>
      <c r="H113" s="21">
        <v>1.212</v>
      </c>
      <c r="I113" s="25" t="s">
        <v>385</v>
      </c>
      <c r="J113" s="18">
        <f t="shared" si="6"/>
        <v>0.82000000000000028</v>
      </c>
      <c r="K113" s="19">
        <v>5</v>
      </c>
    </row>
    <row r="114" spans="3:11" ht="25.5" x14ac:dyDescent="0.2">
      <c r="C114" s="17" t="s">
        <v>366</v>
      </c>
      <c r="D114" s="20">
        <v>3.03</v>
      </c>
      <c r="E114" s="21">
        <v>1.4990000000000001</v>
      </c>
      <c r="F114" s="25" t="s">
        <v>384</v>
      </c>
      <c r="G114" s="20">
        <v>3.98</v>
      </c>
      <c r="H114" s="21">
        <v>1.4139999999999999</v>
      </c>
      <c r="I114" s="25" t="s">
        <v>385</v>
      </c>
      <c r="J114" s="18">
        <f t="shared" si="6"/>
        <v>0.95000000000000018</v>
      </c>
      <c r="K114" s="19">
        <v>4</v>
      </c>
    </row>
    <row r="115" spans="3:11" x14ac:dyDescent="0.2">
      <c r="C115" s="17" t="s">
        <v>367</v>
      </c>
      <c r="D115" s="20">
        <v>2.65</v>
      </c>
      <c r="E115" s="21">
        <v>1.4610000000000001</v>
      </c>
      <c r="F115" s="25" t="s">
        <v>383</v>
      </c>
      <c r="G115" s="20">
        <v>3.6</v>
      </c>
      <c r="H115" s="21">
        <v>1.286</v>
      </c>
      <c r="I115" s="25" t="s">
        <v>385</v>
      </c>
      <c r="J115" s="18">
        <f t="shared" si="6"/>
        <v>0.95000000000000018</v>
      </c>
      <c r="K115" s="19">
        <v>4</v>
      </c>
    </row>
    <row r="116" spans="3:11" ht="25.5" x14ac:dyDescent="0.2">
      <c r="C116" s="17" t="s">
        <v>368</v>
      </c>
      <c r="D116" s="20">
        <v>3.14</v>
      </c>
      <c r="E116" s="21">
        <v>1.7769999999999999</v>
      </c>
      <c r="F116" s="25" t="s">
        <v>384</v>
      </c>
      <c r="G116" s="20">
        <v>4.09</v>
      </c>
      <c r="H116" s="21">
        <v>1.492</v>
      </c>
      <c r="I116" s="25" t="s">
        <v>385</v>
      </c>
      <c r="J116" s="18">
        <f t="shared" si="6"/>
        <v>0.94999999999999973</v>
      </c>
      <c r="K116" s="19">
        <v>4</v>
      </c>
    </row>
    <row r="117" spans="3:11" x14ac:dyDescent="0.2">
      <c r="C117" s="23" t="s">
        <v>357</v>
      </c>
      <c r="D117" s="21">
        <v>3.13</v>
      </c>
      <c r="E117" s="21">
        <v>1.4950000000000001</v>
      </c>
      <c r="F117" s="25" t="s">
        <v>384</v>
      </c>
      <c r="G117" s="21">
        <v>4.08</v>
      </c>
      <c r="H117" s="22">
        <v>1.3260000000000001</v>
      </c>
      <c r="I117" s="25" t="s">
        <v>385</v>
      </c>
      <c r="J117" s="18">
        <f t="shared" si="6"/>
        <v>0.95000000000000018</v>
      </c>
      <c r="K117" s="19"/>
    </row>
  </sheetData>
  <mergeCells count="7">
    <mergeCell ref="C1:K1"/>
    <mergeCell ref="N1:V1"/>
    <mergeCell ref="C106:C107"/>
    <mergeCell ref="D106:F106"/>
    <mergeCell ref="G106:I106"/>
    <mergeCell ref="J106:J107"/>
    <mergeCell ref="K106:K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Cleaned</vt:lpstr>
      <vt:lpstr>Match</vt:lpstr>
      <vt:lpstr>Analyzed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Preeda Saitawong</cp:lastModifiedBy>
  <dcterms:created xsi:type="dcterms:W3CDTF">2026-08-10T16:08:09Z</dcterms:created>
  <dcterms:modified xsi:type="dcterms:W3CDTF">2026-08-10T16:08:09Z</dcterms:modified>
</cp:coreProperties>
</file>